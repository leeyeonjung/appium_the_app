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appium_the_app\testcase_excel\"/>
    </mc:Choice>
  </mc:AlternateContent>
  <xr:revisionPtr revIDLastSave="0" documentId="13_ncr:1_{8B8D55EA-9F73-4855-8ED1-AF009BC98DC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 1차" sheetId="10" r:id="rId1"/>
    <sheet name="TC 1차" sheetId="12" r:id="rId2"/>
  </sheets>
  <calcPr calcId="191028"/>
  <customWorkbookViews>
    <customWorkbookView name="려경" guid="{3721069E-E21F-425B-953E-C53BD97D095E}" maximized="1" windowWidth="0" windowHeight="0" activeSheetId="0"/>
    <customWorkbookView name="eunjin" guid="{10EF46AD-7679-4B1E-9AAF-6F66EA7FAAE2}" maximized="1" windowWidth="0" windowHeight="0" activeSheetId="0"/>
    <customWorkbookView name="SIVP/R" guid="{0DF91DD0-1E25-4E7B-804E-AD9866DEEF96}" maximized="1" windowWidth="0" windowHeight="0" activeSheetId="0"/>
    <customWorkbookView name="ej" guid="{E616D6AD-3FA3-4A5F-9F3A-C1696E18DA74}" maximized="1" windowWidth="0" windowHeight="0" activeSheetId="0"/>
    <customWorkbookView name="Sangmook" guid="{C487589D-495A-45A8-B13C-081786430145}" maximized="1" windowWidth="0" windowHeight="0" activeSheetId="0"/>
    <customWorkbookView name="yeonjung" guid="{342C6FC7-005A-4B3A-9607-99776ED603F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2" l="1"/>
  <c r="L5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R16" i="10"/>
  <c r="Q16" i="10"/>
  <c r="P16" i="10"/>
  <c r="O16" i="10"/>
  <c r="N16" i="10"/>
  <c r="M16" i="10"/>
  <c r="L16" i="10"/>
  <c r="J16" i="10"/>
  <c r="R15" i="10"/>
  <c r="Q15" i="10"/>
  <c r="P15" i="10"/>
  <c r="O15" i="10"/>
  <c r="N15" i="10"/>
  <c r="M15" i="10"/>
  <c r="L15" i="10"/>
  <c r="J15" i="10"/>
  <c r="R14" i="10"/>
  <c r="Q14" i="10"/>
  <c r="P14" i="10"/>
  <c r="O14" i="10"/>
  <c r="N14" i="10"/>
  <c r="M14" i="10"/>
  <c r="L14" i="10"/>
  <c r="J14" i="10"/>
  <c r="R13" i="10"/>
  <c r="Q13" i="10"/>
  <c r="P13" i="10"/>
  <c r="O13" i="10"/>
  <c r="N13" i="10"/>
  <c r="M13" i="10"/>
  <c r="L13" i="10"/>
  <c r="J13" i="10"/>
  <c r="R12" i="10"/>
  <c r="Q12" i="10"/>
  <c r="P12" i="10"/>
  <c r="O12" i="10"/>
  <c r="N12" i="10"/>
  <c r="M12" i="10"/>
  <c r="L12" i="10"/>
  <c r="J12" i="10"/>
  <c r="R11" i="10"/>
  <c r="Q11" i="10"/>
  <c r="P11" i="10"/>
  <c r="O11" i="10"/>
  <c r="N11" i="10"/>
  <c r="M11" i="10"/>
  <c r="L11" i="10"/>
  <c r="J11" i="10"/>
  <c r="R10" i="10"/>
  <c r="Q10" i="10"/>
  <c r="P10" i="10"/>
  <c r="O10" i="10"/>
  <c r="N10" i="10"/>
  <c r="M10" i="10"/>
  <c r="L10" i="10"/>
  <c r="J10" i="10"/>
  <c r="R9" i="10"/>
  <c r="Q9" i="10"/>
  <c r="P9" i="10"/>
  <c r="O9" i="10"/>
  <c r="N9" i="10"/>
  <c r="M9" i="10"/>
  <c r="L9" i="10"/>
  <c r="J9" i="10"/>
  <c r="R8" i="10"/>
  <c r="Q8" i="10"/>
  <c r="P8" i="10"/>
  <c r="O8" i="10"/>
  <c r="N8" i="10"/>
  <c r="M8" i="10"/>
  <c r="L8" i="10"/>
  <c r="J8" i="10"/>
  <c r="R7" i="10"/>
  <c r="Q7" i="10"/>
  <c r="P7" i="10"/>
  <c r="O7" i="10"/>
  <c r="N7" i="10"/>
  <c r="M7" i="10"/>
  <c r="L7" i="10"/>
  <c r="J7" i="10"/>
  <c r="R6" i="10"/>
  <c r="Q6" i="10"/>
  <c r="P6" i="10"/>
  <c r="O6" i="10"/>
  <c r="N6" i="10"/>
  <c r="M6" i="10"/>
  <c r="L6" i="10"/>
  <c r="J6" i="10"/>
  <c r="R5" i="10"/>
  <c r="Q5" i="10"/>
  <c r="P5" i="10"/>
  <c r="O5" i="10"/>
  <c r="N5" i="10"/>
  <c r="M5" i="10"/>
  <c r="L5" i="10"/>
  <c r="J5" i="10"/>
  <c r="K14" i="10" l="1"/>
  <c r="I14" i="10" s="1"/>
  <c r="G14" i="10" s="1"/>
  <c r="H7" i="10"/>
  <c r="H12" i="10"/>
  <c r="H6" i="10"/>
  <c r="H15" i="10"/>
  <c r="K16" i="10"/>
  <c r="I16" i="10" s="1"/>
  <c r="K8" i="10"/>
  <c r="I8" i="10" s="1"/>
  <c r="F8" i="10" s="1"/>
  <c r="H10" i="10"/>
  <c r="H13" i="10"/>
  <c r="K11" i="10"/>
  <c r="I11" i="10" s="1"/>
  <c r="E11" i="10" s="1"/>
  <c r="K6" i="10"/>
  <c r="I6" i="10" s="1"/>
  <c r="E6" i="10" s="1"/>
  <c r="H8" i="10"/>
  <c r="H11" i="10"/>
  <c r="O17" i="10"/>
  <c r="H16" i="10"/>
  <c r="L17" i="10"/>
  <c r="K12" i="10"/>
  <c r="I12" i="10" s="1"/>
  <c r="E12" i="10" s="1"/>
  <c r="K9" i="10"/>
  <c r="I9" i="10" s="1"/>
  <c r="H14" i="10"/>
  <c r="N17" i="10"/>
  <c r="P17" i="10"/>
  <c r="K7" i="10"/>
  <c r="I7" i="10" s="1"/>
  <c r="F7" i="10" s="1"/>
  <c r="H9" i="10"/>
  <c r="Q17" i="10"/>
  <c r="K15" i="10"/>
  <c r="I15" i="10" s="1"/>
  <c r="K10" i="10"/>
  <c r="I10" i="10" s="1"/>
  <c r="K13" i="10"/>
  <c r="I13" i="10" s="1"/>
  <c r="F13" i="10" s="1"/>
  <c r="M17" i="10"/>
  <c r="H5" i="10"/>
  <c r="R17" i="10"/>
  <c r="K5" i="10"/>
  <c r="J17" i="10"/>
  <c r="E13" i="10" l="1"/>
  <c r="F12" i="10"/>
  <c r="E8" i="10"/>
  <c r="G13" i="10"/>
  <c r="G12" i="10"/>
  <c r="G16" i="10"/>
  <c r="E16" i="10"/>
  <c r="F16" i="10"/>
  <c r="F11" i="10"/>
  <c r="G11" i="10"/>
  <c r="F6" i="10"/>
  <c r="G6" i="10"/>
  <c r="G15" i="10"/>
  <c r="E15" i="10"/>
  <c r="F15" i="10"/>
  <c r="G8" i="10"/>
  <c r="H17" i="10"/>
  <c r="E14" i="10"/>
  <c r="F14" i="10"/>
  <c r="G10" i="10"/>
  <c r="F10" i="10"/>
  <c r="E10" i="10"/>
  <c r="K17" i="10"/>
  <c r="I5" i="10"/>
  <c r="E7" i="10"/>
  <c r="G7" i="10"/>
  <c r="G9" i="10"/>
  <c r="E9" i="10"/>
  <c r="F9" i="10"/>
  <c r="E5" i="10" l="1"/>
  <c r="I17" i="10"/>
  <c r="G5" i="10"/>
  <c r="F5" i="10"/>
  <c r="G17" i="10" l="1"/>
  <c r="E17" i="10"/>
  <c r="F1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3" authorId="0" shapeId="0" xr:uid="{00000000-0006-0000-0900-000001000000}">
      <text>
        <r>
          <rPr>
            <sz val="10"/>
            <color rgb="FF000000"/>
            <rFont val="Arial"/>
            <family val="2"/>
            <scheme val="minor"/>
          </rPr>
          <t>= 전체 - N/A - N/T</t>
        </r>
      </text>
    </comment>
    <comment ref="R3" authorId="0" shapeId="0" xr:uid="{00000000-0006-0000-0900-000002000000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C3F36971-2023-434E-AD96-F1BCF6217584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52D77634-F92C-4371-AB60-98D0561098A5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C50E33B3-AFAD-441B-9A11-51AE5C035DB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24CA4FF7-8BFB-45F8-BE7D-C7E60D53C991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500861D1-68DC-473F-B5A1-AE0FC4BB02FB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6691C049-FD62-4C79-8EE3-0FC3A3331481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B4CA4590-F135-4199-B262-D6B52BCC1321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CF409332-1F15-46FF-BA5A-91EAAB3988D4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6F35CDB1-6EE6-4B60-A6AF-7E1FFE8D397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7DB8E25E-E4EB-4456-A2E0-743FFDCCF050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9A6C4B39-151B-4B7A-A0D7-7B0B076013AC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A1EE751D-F457-4B7C-8BB3-ABD0EE922258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 환경 버전 작성 
- N/T, N/A 인 경우 업데이트 되지 않습니다. </t>
        </r>
      </text>
    </comment>
    <comment ref="M2" authorId="0" shapeId="0" xr:uid="{5D079EF4-1879-4EDF-9BF0-62382ACC9036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N2" authorId="0" shapeId="0" xr:uid="{6A24C215-680A-43E2-BA26-0BDA28D89EFA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O2" authorId="0" shapeId="0" xr:uid="{59289A53-589A-4EDA-8E46-BBE88DAF6D53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P2" authorId="0" shapeId="0" xr:uid="{9885BD6F-1DF7-43B1-A146-E4C7A496655D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Q2" authorId="0" shapeId="0" xr:uid="{A8CFB7BE-E9D5-4913-8544-0D0EECA024A3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sharedStrings.xml><?xml version="1.0" encoding="utf-8"?>
<sst xmlns="http://schemas.openxmlformats.org/spreadsheetml/2006/main" count="338" uniqueCount="212">
  <si>
    <t>1 Depth</t>
  </si>
  <si>
    <t>2 Depth</t>
  </si>
  <si>
    <t>3 Depth</t>
  </si>
  <si>
    <t>Priority</t>
  </si>
  <si>
    <t>Test Data</t>
  </si>
  <si>
    <t>Pre-condition</t>
  </si>
  <si>
    <t>Test Step</t>
  </si>
  <si>
    <t>Expected Result</t>
  </si>
  <si>
    <t>Tested Ver.</t>
  </si>
  <si>
    <t>Tester</t>
  </si>
  <si>
    <t>Issue Link</t>
  </si>
  <si>
    <t>Test Comment</t>
  </si>
  <si>
    <t>Remark</t>
  </si>
  <si>
    <t>Auto Script</t>
  </si>
  <si>
    <t>Auto Comment</t>
  </si>
  <si>
    <t>P2</t>
  </si>
  <si>
    <t>P1</t>
  </si>
  <si>
    <t>P3</t>
  </si>
  <si>
    <t>a</t>
  </si>
  <si>
    <t>1Depth</t>
  </si>
  <si>
    <t>Version</t>
  </si>
  <si>
    <t>테스트 진행률</t>
  </si>
  <si>
    <t>패스율</t>
  </si>
  <si>
    <t>테스트 
커버리지</t>
  </si>
  <si>
    <t>전체 유효
테스트 개수</t>
  </si>
  <si>
    <t>실행된 테스트 개수(a)</t>
  </si>
  <si>
    <t>성공개수(b)</t>
  </si>
  <si>
    <t>실패개수
Fail(c) + Blocked(d)</t>
  </si>
  <si>
    <t>우선순위별 실패개수(c)</t>
  </si>
  <si>
    <t>Blocked(d)</t>
  </si>
  <si>
    <t>N/T(e)
테스트 하지 않음</t>
  </si>
  <si>
    <t>N/A(f)
테스트 진행불가</t>
  </si>
  <si>
    <t>전체 
테스트 개수(g)</t>
  </si>
  <si>
    <t>Total</t>
  </si>
  <si>
    <t>The App Test Result Summary</t>
    <phoneticPr fontId="18" type="noConversion"/>
  </si>
  <si>
    <t>Q01</t>
    <phoneticPr fontId="18" type="noConversion"/>
  </si>
  <si>
    <t>Result (Android)</t>
    <phoneticPr fontId="18" type="noConversion"/>
  </si>
  <si>
    <t>Result (iOS)</t>
    <phoneticPr fontId="18" type="noConversion"/>
  </si>
  <si>
    <t>Test Title</t>
    <phoneticPr fontId="18" type="noConversion"/>
  </si>
  <si>
    <t>App Launch</t>
    <phoneticPr fontId="18" type="noConversion"/>
  </si>
  <si>
    <t>Home</t>
    <phoneticPr fontId="18" type="noConversion"/>
  </si>
  <si>
    <t>Echo Box</t>
    <phoneticPr fontId="18" type="noConversion"/>
  </si>
  <si>
    <t>Login Screen</t>
    <phoneticPr fontId="18" type="noConversion"/>
  </si>
  <si>
    <t>Clipboard Demo</t>
    <phoneticPr fontId="18" type="noConversion"/>
  </si>
  <si>
    <t>Webview Demo</t>
    <phoneticPr fontId="18" type="noConversion"/>
  </si>
  <si>
    <t>Dual Webview Demo</t>
    <phoneticPr fontId="18" type="noConversion"/>
  </si>
  <si>
    <t>List Demo</t>
    <phoneticPr fontId="18" type="noConversion"/>
  </si>
  <si>
    <t>Photo Demo</t>
    <phoneticPr fontId="18" type="noConversion"/>
  </si>
  <si>
    <t>Geolocation Demo</t>
    <phoneticPr fontId="18" type="noConversion"/>
  </si>
  <si>
    <t>Picker Demo</t>
    <phoneticPr fontId="18" type="noConversion"/>
  </si>
  <si>
    <t>Verify Phone Number</t>
    <phoneticPr fontId="18" type="noConversion"/>
  </si>
  <si>
    <r>
      <t>&lt;GAON100-Q01&gt;
* insight-cxr-gateway : 4.1.0-rc.1</t>
    </r>
    <r>
      <rPr>
        <sz val="9"/>
        <color theme="1"/>
        <rFont val="Arial"/>
        <family val="2"/>
      </rPr>
      <t xml:space="preserve">
lunit-dicom-handler : 1.3.2
dicom_creator(Rust lunit-insight-creator) : 0.4.1 
go-hl7-creator : 0.0.9
cxr-result : 2.1.2
Admin(frontend) : cxr-v2.1.0-rc.1 </t>
    </r>
    <r>
      <rPr>
        <sz val="9"/>
        <color rgb="FF0000FF"/>
        <rFont val="Arial"/>
        <family val="2"/>
      </rPr>
      <t xml:space="preserve">
</t>
    </r>
    <phoneticPr fontId="18" type="noConversion"/>
  </si>
  <si>
    <t>test_0_app_start.py::test_setup</t>
  </si>
  <si>
    <t>test_0_app_start.py::test_homescreen_01</t>
  </si>
  <si>
    <t>test_0_app_start.py::test_homescreen_02</t>
  </si>
  <si>
    <t>test_0_app_start.py::test_homescreen_03</t>
  </si>
  <si>
    <t>test_0_app_start.py::test_homescreen_04</t>
  </si>
  <si>
    <t>test_0_app_start.py::test_homescreen_05</t>
  </si>
  <si>
    <t>test_0_app_start.py::test_homescreen_06</t>
  </si>
  <si>
    <t>test_0_app_start.py::test_homescreen_07</t>
  </si>
  <si>
    <t>test_0_app_start.py::test_homescreen_08</t>
  </si>
  <si>
    <t>test_0_app_start.py::test_homescreen_09</t>
  </si>
  <si>
    <t>test_0_app_start.py::test_homescreen_10</t>
  </si>
  <si>
    <t>test_1_echo_box.py::test_into_echo_box</t>
  </si>
  <si>
    <t>test_1_echo_box.py::test_echo_box_placeholder</t>
  </si>
  <si>
    <t>test_1_echo_box.py::test_inputfield_function_01</t>
  </si>
  <si>
    <t>test_1_echo_box.py::test_inputfield_function_02</t>
  </si>
  <si>
    <t>test_2_login_screen.py::test_into_login_screen</t>
  </si>
  <si>
    <t>test_2_login_screen.py::test_login_screen_placeholder</t>
  </si>
  <si>
    <t>test_2_login_screen.py::test_login_success</t>
  </si>
  <si>
    <t>test_2_login_screen.py::test_logout_success</t>
  </si>
  <si>
    <t>test_2_login_screen.py::test_login_fail</t>
  </si>
  <si>
    <t>test_4_webview_demo.py::test_webview_demo_placeholder</t>
  </si>
  <si>
    <t>test_4_webview_demo.py::test_webview_context</t>
  </si>
  <si>
    <t>test_4_webview_demo.py::test_get_certified</t>
  </si>
  <si>
    <t>test_4_webview_demo.py::test_subscribe</t>
  </si>
  <si>
    <t>test_4_webview_demo.py::test_latest</t>
  </si>
  <si>
    <t>test_4_webview_demo.py::test_all_editions</t>
  </si>
  <si>
    <t>test_4_webview_demo.py::test_sponsors</t>
  </si>
  <si>
    <t>test_4_webview_demo.py::test_contact</t>
  </si>
  <si>
    <t>test_4_webview_demo.py::test_about</t>
  </si>
  <si>
    <t>test_7_photo_demo.py::test_into_photo_demo</t>
  </si>
  <si>
    <t>test_7_photo_demo.py::test_photo</t>
  </si>
  <si>
    <t>test_7_photo_demo.py::test_image_text</t>
  </si>
  <si>
    <t>Home Screen</t>
    <phoneticPr fontId="18" type="noConversion"/>
  </si>
  <si>
    <t>2-1. Echo Box
2-2. Write something and save to local memory</t>
    <phoneticPr fontId="18" type="noConversion"/>
  </si>
  <si>
    <t>2-1. Login Screen
2-2. A fake login screen for testing</t>
    <phoneticPr fontId="18" type="noConversion"/>
  </si>
  <si>
    <t>2-1. Clipboard Demo
2-2. Mess around with the clipboard</t>
    <phoneticPr fontId="18" type="noConversion"/>
  </si>
  <si>
    <t>2-1. Webview Demo
2-2. Explore the possibilities of hybrid apps</t>
    <phoneticPr fontId="18" type="noConversion"/>
  </si>
  <si>
    <t>2-1. Dual Webview Demo
2-2. Automate apps with multiple webviews</t>
    <phoneticPr fontId="18" type="noConversion"/>
  </si>
  <si>
    <t>2-1. List Demo
2-2. Scroll through a list of stuff</t>
    <phoneticPr fontId="18" type="noConversion"/>
  </si>
  <si>
    <t>2-1. Photo Demo
2-2. Some photos with no distinguishing IDs</t>
    <phoneticPr fontId="18" type="noConversion"/>
  </si>
  <si>
    <t>2-1. Geolocation Demo
2-2. See your current location</t>
    <phoneticPr fontId="18" type="noConversion"/>
  </si>
  <si>
    <t>2-1. Picker Demo
2-2. Use some picker wheels for fun and profit</t>
    <phoneticPr fontId="18" type="noConversion"/>
  </si>
  <si>
    <t>2-1. Verify Phone Number
2-2. A fake SMS auto-verification screen</t>
    <phoneticPr fontId="18" type="noConversion"/>
  </si>
  <si>
    <t>placeholder</t>
    <phoneticPr fontId="18" type="noConversion"/>
  </si>
  <si>
    <t>input field</t>
    <phoneticPr fontId="18" type="noConversion"/>
  </si>
  <si>
    <t>(1) Hello Test1</t>
    <phoneticPr fontId="18" type="noConversion"/>
  </si>
  <si>
    <t>(1) Hello Test1
(2) Hello Test2</t>
    <phoneticPr fontId="18" type="noConversion"/>
  </si>
  <si>
    <t>(1) alice
(2) mypassword</t>
    <phoneticPr fontId="18" type="noConversion"/>
  </si>
  <si>
    <t>(1) alice
(2) test</t>
    <phoneticPr fontId="18" type="noConversion"/>
  </si>
  <si>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</si>
  <si>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 xml:space="preserve">&gt;
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설치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완료된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phoneticPr fontId="18" type="noConversion"/>
  </si>
  <si>
    <r>
      <t>1.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</si>
  <si>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</si>
  <si>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실행
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첫번째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2-2. </t>
    </r>
    <r>
      <rPr>
        <sz val="9"/>
        <color theme="1"/>
        <rFont val="Arial"/>
        <family val="2"/>
        <charset val="129"/>
        <scheme val="major"/>
      </rPr>
      <t>첫번째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</si>
  <si>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Login Screen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</si>
  <si>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실행
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두번째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2-2. </t>
    </r>
    <r>
      <rPr>
        <sz val="9"/>
        <color theme="1"/>
        <rFont val="Arial"/>
        <family val="2"/>
        <charset val="129"/>
        <scheme val="major"/>
      </rPr>
      <t>두번째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</si>
  <si>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Clipboard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</si>
  <si>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>&gt;
1. 앱 설치 완료된 상태</t>
    </r>
    <r>
      <rPr>
        <sz val="9"/>
        <color theme="1"/>
        <rFont val="맑은 고딕"/>
        <family val="2"/>
        <charset val="129"/>
      </rPr>
      <t/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</si>
  <si>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세번째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세번째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</si>
  <si>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Webview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</si>
  <si>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네번째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네번째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</si>
  <si>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Dual Webview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</si>
  <si>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다섯번째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다섯번째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</si>
  <si>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List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</si>
  <si>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여섯번째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여섯번째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</si>
  <si>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Photo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</si>
  <si>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일곱번째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일곱번째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</si>
  <si>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Geolocation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</si>
  <si>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여덟번째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여덟번째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</si>
  <si>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Picker Demo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</si>
  <si>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
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아홉번째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아홉번째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</si>
  <si>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3"/>
        <charset val="129"/>
        <scheme val="major"/>
      </rPr>
      <t>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화면의</t>
    </r>
    <r>
      <rPr>
        <sz val="9"/>
        <color theme="1"/>
        <rFont val="Arial"/>
        <family val="2"/>
        <scheme val="major"/>
      </rPr>
      <t xml:space="preserve"> Verify Phone Number </t>
    </r>
    <r>
      <rPr>
        <sz val="9"/>
        <color theme="1"/>
        <rFont val="Arial"/>
        <family val="3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3"/>
        <charset val="129"/>
        <scheme val="major"/>
      </rPr>
      <t>확인</t>
    </r>
  </si>
  <si>
    <r>
      <t xml:space="preserve">1. </t>
    </r>
    <r>
      <rPr>
        <sz val="9"/>
        <color theme="1"/>
        <rFont val="Arial"/>
        <family val="2"/>
        <charset val="129"/>
        <scheme val="major"/>
      </rPr>
      <t>앱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실행</t>
    </r>
    <r>
      <rPr>
        <sz val="9"/>
        <color theme="1"/>
        <rFont val="Arial"/>
        <family val="2"/>
        <scheme val="major"/>
      </rPr>
      <t xml:space="preserve">
2-1. </t>
    </r>
    <r>
      <rPr>
        <sz val="9"/>
        <color theme="1"/>
        <rFont val="Arial"/>
        <family val="2"/>
        <charset val="129"/>
        <scheme val="major"/>
      </rPr>
      <t>열번째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타이틀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r>
      <rPr>
        <sz val="9"/>
        <color theme="1"/>
        <rFont val="Arial"/>
        <family val="2"/>
        <scheme val="major"/>
      </rPr>
      <t xml:space="preserve">
2-2. </t>
    </r>
    <r>
      <rPr>
        <sz val="9"/>
        <color theme="1"/>
        <rFont val="Arial"/>
        <family val="2"/>
        <charset val="129"/>
        <scheme val="major"/>
      </rPr>
      <t>열번째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</si>
  <si>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</si>
  <si>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Arial"/>
        <family val="2"/>
        <charset val="129"/>
        <scheme val="major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</si>
  <si>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Echo Box </t>
    </r>
    <r>
      <rPr>
        <sz val="9"/>
        <color theme="1"/>
        <rFont val="Arial"/>
        <family val="2"/>
        <charset val="129"/>
        <scheme val="major"/>
      </rPr>
      <t>입력창의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문구가</t>
    </r>
    <r>
      <rPr>
        <sz val="9"/>
        <color theme="1"/>
        <rFont val="Arial"/>
        <family val="2"/>
        <scheme val="major"/>
      </rPr>
      <t xml:space="preserve"> “Say something”</t>
    </r>
    <r>
      <rPr>
        <sz val="9"/>
        <color theme="1"/>
        <rFont val="Arial"/>
        <family val="2"/>
        <charset val="129"/>
        <scheme val="major"/>
      </rPr>
      <t>인지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</si>
  <si>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Input Box placeholder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</si>
  <si>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입력한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텍스트가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동일하게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표시되는지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</si>
  <si>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
2. “Hello Test1” </t>
    </r>
    <r>
      <rPr>
        <sz val="9"/>
        <color theme="1"/>
        <rFont val="Arial"/>
        <family val="2"/>
        <charset val="129"/>
        <scheme val="major"/>
      </rPr>
      <t>텍스트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
3.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선택</t>
    </r>
    <r>
      <rPr>
        <sz val="9"/>
        <color theme="1"/>
        <rFont val="Arial"/>
        <family val="2"/>
        <scheme val="major"/>
      </rPr>
      <t xml:space="preserve">
4. </t>
    </r>
    <r>
      <rPr>
        <sz val="9"/>
        <color theme="1"/>
        <rFont val="Arial"/>
        <family val="2"/>
        <charset val="129"/>
        <scheme val="major"/>
      </rPr>
      <t>저장된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</si>
  <si>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새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텍스트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이전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데이터가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덮어쓰기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되어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최신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메시지만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표시되는지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</si>
  <si>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Echo Box </t>
    </r>
    <r>
      <rPr>
        <sz val="9"/>
        <color theme="1"/>
        <rFont val="Arial"/>
        <family val="2"/>
        <charset val="129"/>
        <scheme val="major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진입</t>
    </r>
    <r>
      <rPr>
        <sz val="9"/>
        <color theme="1"/>
        <rFont val="Arial"/>
        <family val="2"/>
        <scheme val="major"/>
      </rPr>
      <t xml:space="preserve">
2. testdata(1)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저장
</t>
    </r>
    <r>
      <rPr>
        <sz val="9"/>
        <color theme="1"/>
        <rFont val="Arial"/>
        <family val="2"/>
        <scheme val="major"/>
      </rPr>
      <t xml:space="preserve">3. testdata(2)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저장</t>
    </r>
    <r>
      <rPr>
        <sz val="9"/>
        <color theme="1"/>
        <rFont val="Arial"/>
        <family val="2"/>
        <scheme val="major"/>
      </rPr>
      <t xml:space="preserve">
4. </t>
    </r>
    <r>
      <rPr>
        <sz val="9"/>
        <color theme="1"/>
        <rFont val="Arial"/>
        <family val="2"/>
        <charset val="129"/>
        <scheme val="major"/>
      </rPr>
      <t>저장된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</si>
  <si>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ID </t>
    </r>
    <r>
      <rPr>
        <sz val="9"/>
        <color theme="1"/>
        <rFont val="Arial"/>
        <family val="2"/>
        <charset val="129"/>
        <scheme val="major"/>
      </rPr>
      <t>및</t>
    </r>
    <r>
      <rPr>
        <sz val="9"/>
        <color theme="1"/>
        <rFont val="Arial"/>
        <family val="2"/>
        <scheme val="major"/>
      </rPr>
      <t xml:space="preserve"> Password </t>
    </r>
    <r>
      <rPr>
        <sz val="9"/>
        <color theme="1"/>
        <rFont val="Arial"/>
        <family val="2"/>
        <charset val="129"/>
        <scheme val="major"/>
      </rPr>
      <t>입력란의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문구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표기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</si>
  <si>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Login Screen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선택</t>
    </r>
    <r>
      <rPr>
        <sz val="9"/>
        <color theme="1"/>
        <rFont val="Arial"/>
        <family val="2"/>
        <scheme val="major"/>
      </rPr>
      <t xml:space="preserve">
2. ID </t>
    </r>
    <r>
      <rPr>
        <sz val="9"/>
        <color theme="1"/>
        <rFont val="Arial"/>
        <family val="2"/>
        <charset val="129"/>
        <scheme val="major"/>
      </rPr>
      <t>입력란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 xml:space="preserve">확인
</t>
    </r>
    <r>
      <rPr>
        <sz val="9"/>
        <color theme="1"/>
        <rFont val="Arial"/>
        <family val="2"/>
        <scheme val="major"/>
      </rPr>
      <t xml:space="preserve">3. PW </t>
    </r>
    <r>
      <rPr>
        <sz val="9"/>
        <color theme="1"/>
        <rFont val="Arial"/>
        <family val="2"/>
        <charset val="129"/>
        <scheme val="major"/>
      </rPr>
      <t>입력란</t>
    </r>
    <r>
      <rPr>
        <sz val="9"/>
        <color theme="1"/>
        <rFont val="Arial"/>
        <family val="2"/>
        <scheme val="major"/>
      </rPr>
      <t xml:space="preserve"> placeholder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</si>
  <si>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유효한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계정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성공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</si>
  <si>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 xml:space="preserve">1. Login Screen </t>
    </r>
    <r>
      <rPr>
        <sz val="9"/>
        <color theme="1"/>
        <rFont val="Arial"/>
        <family val="2"/>
        <charset val="129"/>
        <scheme val="major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선택
</t>
    </r>
    <r>
      <rPr>
        <sz val="9"/>
        <color theme="1"/>
        <rFont val="Arial"/>
        <family val="2"/>
        <scheme val="major"/>
      </rPr>
      <t xml:space="preserve">2. id </t>
    </r>
    <r>
      <rPr>
        <sz val="9"/>
        <color theme="1"/>
        <rFont val="Arial"/>
        <family val="2"/>
        <charset val="129"/>
        <scheme val="major"/>
      </rPr>
      <t>입력란에</t>
    </r>
    <r>
      <rPr>
        <sz val="9"/>
        <color theme="1"/>
        <rFont val="Arial"/>
        <family val="2"/>
        <scheme val="major"/>
      </rPr>
      <t xml:space="preserve"> testdata(1) </t>
    </r>
    <r>
      <rPr>
        <sz val="9"/>
        <color theme="1"/>
        <rFont val="Arial"/>
        <family val="2"/>
        <charset val="129"/>
        <scheme val="major"/>
      </rPr>
      <t xml:space="preserve">입력
</t>
    </r>
    <r>
      <rPr>
        <sz val="9"/>
        <color theme="1"/>
        <rFont val="Arial"/>
        <family val="2"/>
        <scheme val="major"/>
      </rPr>
      <t xml:space="preserve">3. pw </t>
    </r>
    <r>
      <rPr>
        <sz val="9"/>
        <color theme="1"/>
        <rFont val="Arial"/>
        <family val="2"/>
        <charset val="129"/>
        <scheme val="major"/>
      </rPr>
      <t>입력란에</t>
    </r>
    <r>
      <rPr>
        <sz val="9"/>
        <color theme="1"/>
        <rFont val="Arial"/>
        <family val="2"/>
        <scheme val="major"/>
      </rPr>
      <t xml:space="preserve"> testdata(2) </t>
    </r>
    <r>
      <rPr>
        <sz val="9"/>
        <color theme="1"/>
        <rFont val="Arial"/>
        <family val="2"/>
        <charset val="129"/>
        <scheme val="major"/>
      </rPr>
      <t xml:space="preserve">입력
</t>
    </r>
    <r>
      <rPr>
        <sz val="9"/>
        <color theme="1"/>
        <rFont val="Arial"/>
        <family val="2"/>
        <scheme val="major"/>
      </rPr>
      <t xml:space="preserve">4.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클릭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</si>
  <si>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비유효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계정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입력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실패하여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경고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메시지가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정상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출력되는지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</si>
  <si>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후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로그아웃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다시</t>
    </r>
    <r>
      <rPr>
        <sz val="9"/>
        <color theme="1"/>
        <rFont val="Arial"/>
        <family val="2"/>
        <scheme val="major"/>
      </rPr>
      <t xml:space="preserve"> Login </t>
    </r>
    <r>
      <rPr>
        <sz val="9"/>
        <color theme="1"/>
        <rFont val="Arial"/>
        <family val="2"/>
        <charset val="129"/>
        <scheme val="major"/>
      </rPr>
      <t>화면으로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돌아오는지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</si>
  <si>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r>
      <t>&lt;</t>
    </r>
    <r>
      <rPr>
        <sz val="9"/>
        <color theme="1"/>
        <rFont val="Arial"/>
        <family val="2"/>
        <charset val="129"/>
        <scheme val="major"/>
      </rPr>
      <t>상태</t>
    </r>
    <r>
      <rPr>
        <sz val="9"/>
        <color theme="1"/>
        <rFont val="Arial"/>
        <family val="2"/>
        <scheme val="major"/>
      </rPr>
      <t>&gt;
1. testdata(1), testdata(2)</t>
    </r>
    <r>
      <rPr>
        <sz val="9"/>
        <color theme="1"/>
        <rFont val="Arial"/>
        <family val="2"/>
        <charset val="129"/>
        <scheme val="major"/>
      </rPr>
      <t>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로그인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성공한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상태</t>
    </r>
    <phoneticPr fontId="18" type="noConversion"/>
  </si>
  <si>
    <r>
      <t xml:space="preserve">1. </t>
    </r>
    <r>
      <rPr>
        <sz val="9"/>
        <color theme="1"/>
        <rFont val="Arial"/>
        <family val="2"/>
        <charset val="129"/>
        <scheme val="major"/>
      </rPr>
      <t>로그아웃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>버튼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Arial"/>
        <family val="2"/>
        <charset val="129"/>
        <scheme val="major"/>
      </rPr>
      <t xml:space="preserve">클릭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Arial"/>
        <family val="2"/>
        <charset val="129"/>
        <scheme val="major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Arial"/>
        <family val="2"/>
        <charset val="129"/>
        <scheme val="major"/>
      </rPr>
      <t>확인</t>
    </r>
    <phoneticPr fontId="18" type="noConversion"/>
  </si>
  <si>
    <t xml:space="preserve"> </t>
    <phoneticPr fontId="18" type="noConversion"/>
  </si>
  <si>
    <t>이미지</t>
    <phoneticPr fontId="18" type="noConversion"/>
  </si>
  <si>
    <r>
      <rPr>
        <sz val="9"/>
        <color theme="1"/>
        <rFont val="맑은 고딕"/>
        <family val="2"/>
        <charset val="129"/>
      </rPr>
      <t>표시된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이미지가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원본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이미지와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동일한지 확인</t>
    </r>
    <phoneticPr fontId="18" type="noConversion"/>
  </si>
  <si>
    <r>
      <rPr>
        <sz val="9"/>
        <color theme="1"/>
        <rFont val="맑은 고딕"/>
        <family val="2"/>
        <charset val="129"/>
      </rPr>
      <t>이미지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클릭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시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표시되는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설명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문구 일치 확인</t>
    </r>
    <phoneticPr fontId="18" type="noConversion"/>
  </si>
  <si>
    <r>
      <rPr>
        <b/>
        <sz val="9"/>
        <color theme="1"/>
        <rFont val="Arial"/>
        <family val="3"/>
        <charset val="129"/>
        <scheme val="major"/>
      </rPr>
      <t>메뉴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3"/>
        <charset val="129"/>
        <scheme val="major"/>
      </rPr>
      <t>텍스트</t>
    </r>
  </si>
  <si>
    <r>
      <t xml:space="preserve">Echo Box </t>
    </r>
    <r>
      <rPr>
        <b/>
        <sz val="9"/>
        <color theme="1"/>
        <rFont val="Arial"/>
        <family val="2"/>
        <charset val="129"/>
        <scheme val="major"/>
      </rPr>
      <t>화면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진입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</si>
  <si>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메시지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저장</t>
    </r>
    <phoneticPr fontId="18" type="noConversion"/>
  </si>
  <si>
    <r>
      <t xml:space="preserve">Login Screen </t>
    </r>
    <r>
      <rPr>
        <b/>
        <sz val="9"/>
        <color theme="1"/>
        <rFont val="Arial"/>
        <family val="2"/>
        <charset val="129"/>
        <scheme val="major"/>
      </rPr>
      <t>화면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진입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</si>
  <si>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</si>
  <si>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성공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</si>
  <si>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로그인</t>
    </r>
    <r>
      <rPr>
        <b/>
        <sz val="9"/>
        <color theme="1"/>
        <rFont val="Arial"/>
        <family val="2"/>
        <scheme val="major"/>
      </rPr>
      <t xml:space="preserve"> </t>
    </r>
    <r>
      <rPr>
        <b/>
        <sz val="9"/>
        <color theme="1"/>
        <rFont val="Arial"/>
        <family val="2"/>
        <charset val="129"/>
        <scheme val="major"/>
      </rPr>
      <t>실패</t>
    </r>
    <phoneticPr fontId="18" type="noConversion"/>
  </si>
  <si>
    <r>
      <rPr>
        <b/>
        <sz val="9"/>
        <color theme="1"/>
        <rFont val="Arial"/>
        <family val="2"/>
        <charset val="129"/>
        <scheme val="major"/>
      </rPr>
      <t>로그아웃</t>
    </r>
    <phoneticPr fontId="18" type="noConversion"/>
  </si>
  <si>
    <r>
      <t xml:space="preserve">Photo Demo </t>
    </r>
    <r>
      <rPr>
        <b/>
        <sz val="9"/>
        <color theme="1"/>
        <rFont val="맑은 고딕"/>
        <family val="2"/>
        <charset val="129"/>
      </rPr>
      <t>화면 진입</t>
    </r>
    <phoneticPr fontId="18" type="noConversion"/>
  </si>
  <si>
    <t>이미지 일치 여부</t>
    <phoneticPr fontId="18" type="noConversion"/>
  </si>
  <si>
    <t>이미지별 텍스트 일치 여부</t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</si>
  <si>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Title Text 확인</t>
    </r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</si>
  <si>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출력된 화면 이미지와 예상 결과 이미지 비교</t>
    </r>
    <phoneticPr fontId="18" type="noConversion"/>
  </si>
  <si>
    <r>
      <t xml:space="preserve">1. Photo Demon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출력된 화면 이미지 클릭</t>
    </r>
    <phoneticPr fontId="18" type="noConversion"/>
  </si>
  <si>
    <r>
      <t xml:space="preserve">Login Screen </t>
    </r>
    <r>
      <rPr>
        <sz val="9"/>
        <color theme="1"/>
        <rFont val="맑은 고딕"/>
        <family val="3"/>
        <charset val="129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>확인</t>
    </r>
    <phoneticPr fontId="18" type="noConversion"/>
  </si>
  <si>
    <r>
      <t xml:space="preserve">Photo Demo </t>
    </r>
    <r>
      <rPr>
        <sz val="9"/>
        <color theme="1"/>
        <rFont val="맑은 고딕"/>
        <family val="2"/>
        <charset val="129"/>
      </rPr>
      <t>화면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진입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</si>
  <si>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1. Login Screen </t>
    </r>
    <r>
      <rPr>
        <sz val="9"/>
        <color theme="1"/>
        <rFont val="맑은 고딕"/>
        <family val="3"/>
        <charset val="129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3"/>
        <charset val="129"/>
      </rPr>
      <t xml:space="preserve">선택
</t>
    </r>
    <r>
      <rPr>
        <sz val="9"/>
        <color theme="1"/>
        <rFont val="Arial"/>
        <family val="2"/>
        <scheme val="major"/>
      </rPr>
      <t xml:space="preserve">2. </t>
    </r>
    <r>
      <rPr>
        <sz val="9"/>
        <color theme="1"/>
        <rFont val="맑은 고딕"/>
        <family val="3"/>
        <charset val="129"/>
      </rPr>
      <t>상단</t>
    </r>
    <r>
      <rPr>
        <sz val="9"/>
        <color theme="1"/>
        <rFont val="Arial"/>
        <family val="2"/>
        <scheme val="major"/>
      </rPr>
      <t xml:space="preserve"> Title </t>
    </r>
    <r>
      <rPr>
        <sz val="9"/>
        <color theme="1"/>
        <rFont val="맑은 고딕"/>
        <family val="3"/>
        <charset val="129"/>
      </rPr>
      <t>확인</t>
    </r>
    <phoneticPr fontId="18" type="noConversion"/>
  </si>
  <si>
    <t>P2</t>
    <phoneticPr fontId="18" type="noConversion"/>
  </si>
  <si>
    <t>P3</t>
    <phoneticPr fontId="18" type="noConversion"/>
  </si>
  <si>
    <r>
      <t xml:space="preserve">webview demo placeholder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</si>
  <si>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t>(1) https://appiumpro.com</t>
    <phoneticPr fontId="18" type="noConversion"/>
  </si>
  <si>
    <r>
      <t xml:space="preserve">webview </t>
    </r>
    <r>
      <rPr>
        <b/>
        <sz val="9"/>
        <color theme="1"/>
        <rFont val="맑은 고딕"/>
        <family val="2"/>
        <charset val="129"/>
      </rPr>
      <t>화면</t>
    </r>
    <phoneticPr fontId="18" type="noConversion"/>
  </si>
  <si>
    <r>
      <t xml:space="preserve">webview </t>
    </r>
    <r>
      <rPr>
        <sz val="9"/>
        <color theme="1"/>
        <rFont val="맑은 고딕"/>
        <family val="2"/>
        <charset val="129"/>
      </rPr>
      <t>페이지 노출 확인</t>
    </r>
    <phoneticPr fontId="18" type="noConversion"/>
  </si>
  <si>
    <r>
      <t xml:space="preserve">webview </t>
    </r>
    <r>
      <rPr>
        <b/>
        <sz val="9"/>
        <color theme="1"/>
        <rFont val="맑은 고딕"/>
        <family val="2"/>
        <charset val="129"/>
      </rPr>
      <t>컨텐츠 노출</t>
    </r>
    <phoneticPr fontId="18" type="noConversion"/>
  </si>
  <si>
    <r>
      <t xml:space="preserve">Get Certified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</si>
  <si>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Subscibe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</si>
  <si>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Latest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</si>
  <si>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All Editions </t>
    </r>
    <r>
      <rPr>
        <sz val="9"/>
        <color theme="1"/>
        <rFont val="맑은 고딕"/>
        <family val="2"/>
        <charset val="129"/>
      </rPr>
      <t>페이지 이동 확인</t>
    </r>
    <phoneticPr fontId="18" type="noConversion"/>
  </si>
  <si>
    <r>
      <t xml:space="preserve">Sponsors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</si>
  <si>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Contace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</si>
  <si>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r>
      <t xml:space="preserve">About </t>
    </r>
    <r>
      <rPr>
        <sz val="9"/>
        <color theme="1"/>
        <rFont val="맑은 고딕"/>
        <family val="2"/>
        <charset val="129"/>
      </rPr>
      <t>페이지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이동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확인</t>
    </r>
    <phoneticPr fontId="18" type="noConversion"/>
  </si>
  <si>
    <t>P1</t>
    <phoneticPr fontId="18" type="noConversion"/>
  </si>
  <si>
    <r>
      <t xml:space="preserve">1. Webview Demo </t>
    </r>
    <r>
      <rPr>
        <sz val="9"/>
        <color theme="1"/>
        <rFont val="맑은 고딕"/>
        <family val="2"/>
        <charset val="129"/>
      </rPr>
      <t>메뉴 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>입력란 placeholder 확인</t>
    </r>
    <phoneticPr fontId="18" type="noConversion"/>
  </si>
  <si>
    <r>
      <t xml:space="preserve">1. Webview Demo </t>
    </r>
    <r>
      <rPr>
        <sz val="9"/>
        <color theme="1"/>
        <rFont val="맑은 고딕"/>
        <family val="2"/>
        <charset val="129"/>
      </rPr>
      <t>메뉴</t>
    </r>
    <r>
      <rPr>
        <sz val="9"/>
        <color theme="1"/>
        <rFont val="Arial"/>
        <family val="2"/>
        <scheme val="major"/>
      </rPr>
      <t xml:space="preserve"> </t>
    </r>
    <r>
      <rPr>
        <sz val="9"/>
        <color theme="1"/>
        <rFont val="맑은 고딕"/>
        <family val="2"/>
        <charset val="129"/>
      </rPr>
      <t>선택</t>
    </r>
    <r>
      <rPr>
        <sz val="9"/>
        <color theme="1"/>
        <rFont val="Arial"/>
        <family val="2"/>
        <scheme val="major"/>
      </rPr>
      <t xml:space="preserve">
2. </t>
    </r>
    <r>
      <rPr>
        <sz val="9"/>
        <color theme="1"/>
        <rFont val="맑은 고딕"/>
        <family val="2"/>
        <charset val="129"/>
      </rPr>
      <t xml:space="preserve">입력란에 </t>
    </r>
    <r>
      <rPr>
        <sz val="9"/>
        <color theme="1"/>
        <rFont val="Arial"/>
        <family val="2"/>
      </rPr>
      <t xml:space="preserve">testdata(1) </t>
    </r>
    <r>
      <rPr>
        <sz val="9"/>
        <color theme="1"/>
        <rFont val="맑은 고딕"/>
        <family val="2"/>
        <charset val="129"/>
      </rPr>
      <t xml:space="preserve">입력
3. </t>
    </r>
    <r>
      <rPr>
        <sz val="9"/>
        <color theme="1"/>
        <rFont val="Arial"/>
        <family val="2"/>
      </rPr>
      <t xml:space="preserve">Go </t>
    </r>
    <r>
      <rPr>
        <sz val="9"/>
        <color theme="1"/>
        <rFont val="맑은 고딕"/>
        <family val="2"/>
        <charset val="129"/>
      </rPr>
      <t>버튼 선택</t>
    </r>
    <phoneticPr fontId="18" type="noConversion"/>
  </si>
  <si>
    <r>
      <t>&lt;</t>
    </r>
    <r>
      <rPr>
        <sz val="9"/>
        <color theme="1"/>
        <rFont val="맑은 고딕"/>
        <family val="2"/>
        <charset val="129"/>
      </rPr>
      <t xml:space="preserve">상태&gt;
1. </t>
    </r>
    <r>
      <rPr>
        <sz val="9"/>
        <color theme="1"/>
        <rFont val="Arial"/>
        <family val="2"/>
      </rPr>
      <t xml:space="preserve">Webview Demo </t>
    </r>
    <r>
      <rPr>
        <sz val="9"/>
        <color theme="1"/>
        <rFont val="맑은 고딕"/>
        <family val="2"/>
        <charset val="129"/>
      </rPr>
      <t>페이지 진입하여 입력란에 testdata(1) 입력하여 웹페이지 노출된 상태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</si>
  <si>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첫번째 메뉴 선택</t>
    </r>
    <r>
      <rPr>
        <sz val="9"/>
        <color theme="1"/>
        <rFont val="Arial"/>
        <family val="2"/>
        <scheme val="major"/>
      </rPr>
      <t xml:space="preserve">
3. </t>
    </r>
    <r>
      <rPr>
        <sz val="9"/>
        <color theme="1"/>
        <rFont val="맑은 고딕"/>
        <family val="2"/>
        <charset val="129"/>
      </rPr>
      <t>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</si>
  <si>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두번째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</si>
  <si>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세번째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</si>
  <si>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네번째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</si>
  <si>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다섯번째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</si>
  <si>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여섯번째 메뉴 선택
3. 페이지 타이틀 확인</t>
    </r>
    <phoneticPr fontId="18" type="noConversion"/>
  </si>
  <si>
    <r>
      <t xml:space="preserve">1. </t>
    </r>
    <r>
      <rPr>
        <sz val="9"/>
        <color theme="1"/>
        <rFont val="맑은 고딕"/>
        <family val="2"/>
        <charset val="129"/>
      </rPr>
      <t>웹 페이지 내의 햄버거 바 메뉴 선택
2. 일곱번째 메뉴 선택</t>
    </r>
    <r>
      <rPr>
        <sz val="9"/>
        <color theme="1"/>
        <rFont val="Arial"/>
        <family val="2"/>
        <scheme val="major"/>
      </rPr>
      <t xml:space="preserve">
</t>
    </r>
    <r>
      <rPr>
        <sz val="9"/>
        <color theme="1"/>
        <rFont val="맑은 고딕"/>
        <family val="2"/>
        <charset val="129"/>
      </rPr>
      <t>3. 페이지 타이틀 확인</t>
    </r>
    <phoneticPr fontId="18" type="noConversion"/>
  </si>
  <si>
    <r>
      <t xml:space="preserve">1. </t>
    </r>
    <r>
      <rPr>
        <sz val="10"/>
        <color theme="1"/>
        <rFont val="Arial"/>
        <family val="3"/>
        <charset val="129"/>
        <scheme val="major"/>
      </rPr>
      <t>앱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실행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완료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되어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세션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정상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반환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됨</t>
    </r>
    <phoneticPr fontId="18" type="noConversion"/>
  </si>
  <si>
    <r>
      <t>2. Title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"Echo Screen"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</si>
  <si>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2. placeholder </t>
    </r>
    <r>
      <rPr>
        <sz val="10"/>
        <color theme="1"/>
        <rFont val="Arial"/>
        <family val="3"/>
        <charset val="129"/>
        <scheme val="major"/>
      </rPr>
      <t>값이</t>
    </r>
    <r>
      <rPr>
        <sz val="10"/>
        <color theme="1"/>
        <rFont val="Arial"/>
        <family val="2"/>
        <scheme val="major"/>
      </rPr>
      <t xml:space="preserve"> "Say something"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</si>
  <si>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저장된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메시지가</t>
    </r>
    <r>
      <rPr>
        <sz val="10"/>
        <color theme="1"/>
        <rFont val="Arial"/>
        <family val="2"/>
        <scheme val="major"/>
      </rPr>
      <t xml:space="preserve"> testdata(1)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동일함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</si>
  <si>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저장된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메시지가</t>
    </r>
    <r>
      <rPr>
        <sz val="10"/>
        <color theme="1"/>
        <rFont val="Arial"/>
        <family val="2"/>
        <scheme val="major"/>
      </rPr>
      <t xml:space="preserve"> testdata(2)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동일함</t>
    </r>
    <phoneticPr fontId="18" type="noConversion"/>
  </si>
  <si>
    <r>
      <t>2. Title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"Login"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</si>
  <si>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>2. Username</t>
    </r>
    <r>
      <rPr>
        <sz val="10"/>
        <color theme="1"/>
        <rFont val="Arial"/>
        <family val="3"/>
        <charset val="129"/>
        <scheme val="major"/>
      </rPr>
      <t>임</t>
    </r>
    <r>
      <rPr>
        <sz val="10"/>
        <color theme="1"/>
        <rFont val="Arial"/>
        <family val="2"/>
        <scheme val="major"/>
      </rPr>
      <t xml:space="preserve">
3. Password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</si>
  <si>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성공하여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조회된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화면에</t>
    </r>
    <r>
      <rPr>
        <sz val="10"/>
        <color theme="1"/>
        <rFont val="Arial"/>
        <family val="2"/>
        <scheme val="major"/>
      </rPr>
      <t xml:space="preserve"> "Secret Area" </t>
    </r>
    <r>
      <rPr>
        <sz val="10"/>
        <color theme="1"/>
        <rFont val="Arial"/>
        <family val="3"/>
        <charset val="129"/>
        <scheme val="major"/>
      </rPr>
      <t>와</t>
    </r>
    <r>
      <rPr>
        <sz val="10"/>
        <color theme="1"/>
        <rFont val="Arial"/>
        <family val="2"/>
        <scheme val="major"/>
      </rPr>
      <t xml:space="preserve"> "You are logged in as alice"  </t>
    </r>
    <r>
      <rPr>
        <sz val="10"/>
        <color theme="1"/>
        <rFont val="Arial"/>
        <family val="3"/>
        <charset val="129"/>
        <scheme val="major"/>
      </rPr>
      <t>내용이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노출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됨</t>
    </r>
    <phoneticPr fontId="18" type="noConversion"/>
  </si>
  <si>
    <r>
      <t xml:space="preserve">4.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실패하여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노출된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경고메세지가</t>
    </r>
    <r>
      <rPr>
        <sz val="10"/>
        <color theme="1"/>
        <rFont val="Arial"/>
        <family val="2"/>
        <scheme val="major"/>
      </rPr>
      <t xml:space="preserve"> "Invalid login credentials, please try again" 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</si>
  <si>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2-1. </t>
    </r>
    <r>
      <rPr>
        <sz val="10"/>
        <color theme="1"/>
        <rFont val="Arial"/>
        <family val="3"/>
        <charset val="129"/>
        <scheme val="major"/>
      </rPr>
      <t>로그아웃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 xml:space="preserve">성공
</t>
    </r>
    <r>
      <rPr>
        <sz val="10"/>
        <color theme="1"/>
        <rFont val="Arial"/>
        <family val="2"/>
        <scheme val="major"/>
      </rPr>
      <t xml:space="preserve">2-2. </t>
    </r>
    <r>
      <rPr>
        <sz val="10"/>
        <color theme="1"/>
        <rFont val="Arial"/>
        <family val="3"/>
        <charset val="129"/>
        <scheme val="major"/>
      </rPr>
      <t>로그인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화면</t>
    </r>
    <r>
      <rPr>
        <sz val="10"/>
        <color theme="1"/>
        <rFont val="Arial"/>
        <family val="2"/>
        <scheme val="major"/>
      </rPr>
      <t xml:space="preserve"> </t>
    </r>
    <r>
      <rPr>
        <sz val="10"/>
        <color theme="1"/>
        <rFont val="Arial"/>
        <family val="3"/>
        <charset val="129"/>
        <scheme val="major"/>
      </rPr>
      <t>재진입하여</t>
    </r>
    <r>
      <rPr>
        <sz val="10"/>
        <color theme="1"/>
        <rFont val="Arial"/>
        <family val="2"/>
        <scheme val="major"/>
      </rPr>
      <t xml:space="preserve"> Titlte text</t>
    </r>
    <r>
      <rPr>
        <sz val="10"/>
        <color theme="1"/>
        <rFont val="Arial"/>
        <family val="3"/>
        <charset val="129"/>
        <scheme val="major"/>
      </rPr>
      <t>가</t>
    </r>
    <r>
      <rPr>
        <sz val="10"/>
        <color theme="1"/>
        <rFont val="Arial"/>
        <family val="2"/>
        <scheme val="major"/>
      </rPr>
      <t xml:space="preserve"> "Login"</t>
    </r>
    <r>
      <rPr>
        <sz val="10"/>
        <color theme="1"/>
        <rFont val="Arial"/>
        <family val="3"/>
        <charset val="129"/>
        <scheme val="major"/>
      </rPr>
      <t>임</t>
    </r>
    <phoneticPr fontId="18" type="noConversion"/>
  </si>
  <si>
    <r>
      <t xml:space="preserve">2. https://appiumpro.com 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</si>
  <si>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 xml:space="preserve">3. </t>
    </r>
    <r>
      <rPr>
        <sz val="10"/>
        <color theme="1"/>
        <rFont val="맑은 고딕"/>
        <family val="2"/>
        <charset val="129"/>
      </rPr>
      <t>화면 하단 웹 페이지 노출됨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</si>
  <si>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'Appium Pro Training, Tutorials, and Certification'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</si>
  <si>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'Subscribe Now'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</si>
  <si>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'Edition 124'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</si>
  <si>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'All Editions'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</si>
  <si>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'Sponsors'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</si>
  <si>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 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'Contact Us'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</si>
  <si>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3.title</t>
    </r>
    <r>
      <rPr>
        <sz val="10"/>
        <color theme="1"/>
        <rFont val="맑은 고딕"/>
        <family val="2"/>
        <charset val="129"/>
      </rPr>
      <t>이</t>
    </r>
    <r>
      <rPr>
        <sz val="10"/>
        <color theme="1"/>
        <rFont val="Arial"/>
        <family val="2"/>
        <scheme val="major"/>
      </rPr>
      <t xml:space="preserve"> 'About'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</si>
  <si>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2. Title text</t>
    </r>
    <r>
      <rPr>
        <sz val="10"/>
        <color theme="1"/>
        <rFont val="맑은 고딕"/>
        <family val="2"/>
        <charset val="129"/>
      </rPr>
      <t xml:space="preserve">가 </t>
    </r>
    <r>
      <rPr>
        <sz val="10"/>
        <color theme="1"/>
        <rFont val="Arial"/>
        <family val="2"/>
        <scheme val="major"/>
      </rPr>
      <t xml:space="preserve">"Photo Library. Tap a photo!" </t>
    </r>
    <r>
      <rPr>
        <sz val="10"/>
        <color theme="1"/>
        <rFont val="맑은 고딕"/>
        <family val="2"/>
        <charset val="129"/>
      </rPr>
      <t>임</t>
    </r>
    <phoneticPr fontId="18" type="noConversion"/>
  </si>
  <si>
    <r>
      <t>2. 6</t>
    </r>
    <r>
      <rPr>
        <sz val="10"/>
        <color theme="1"/>
        <rFont val="맑은 고딕"/>
        <family val="2"/>
        <charset val="129"/>
      </rPr>
      <t>개의 이미지가 랜덤으로 각각 1개씩 조회됨</t>
    </r>
    <phoneticPr fontId="18" type="noConversion"/>
  </si>
  <si>
    <r>
      <t xml:space="preserve">2. </t>
    </r>
    <r>
      <rPr>
        <sz val="10"/>
        <color theme="1"/>
        <rFont val="맑은 고딕"/>
        <family val="2"/>
        <charset val="129"/>
      </rPr>
      <t xml:space="preserve">각 이미지별 </t>
    </r>
    <r>
      <rPr>
        <sz val="10"/>
        <color theme="1"/>
        <rFont val="Arial"/>
        <family val="2"/>
      </rPr>
      <t xml:space="preserve">text </t>
    </r>
    <r>
      <rPr>
        <sz val="10"/>
        <color theme="1"/>
        <rFont val="맑은 고딕"/>
        <family val="2"/>
        <charset val="129"/>
      </rPr>
      <t>조회됨.</t>
    </r>
    <r>
      <rPr>
        <sz val="10"/>
        <color theme="1"/>
        <rFont val="Arial"/>
        <family val="2"/>
        <scheme val="major"/>
      </rPr>
      <t xml:space="preserve">
2-1.
original_1 : "This is a picture of: 2 tanker ships with snowy mountains in the background"
2-2.
original_2 : "This is a picture of: Wispy clouds in a blue sky"
2-3.
original_3 : "This is a picture of: English bay with snowy mountains"
2-4.
original_4 : "This is a picture of: The Vancouver skyline at sunrise"
2-5.
original_5 : "This is a picture of: A long thin cloud below mountain level"
2-6.
original_6 : "This is a picture of: Imposing mountains and West Vancouver"</t>
    </r>
    <phoneticPr fontId="18" type="noConversion"/>
  </si>
  <si>
    <r>
      <rPr>
        <sz val="9"/>
        <color theme="1"/>
        <rFont val="맑은 고딕"/>
        <family val="2"/>
        <charset val="129"/>
      </rPr>
      <t xml:space="preserve">이미지별 </t>
    </r>
    <r>
      <rPr>
        <sz val="9"/>
        <color theme="1"/>
        <rFont val="Arial"/>
        <family val="2"/>
      </rPr>
      <t>Expected Result</t>
    </r>
    <r>
      <rPr>
        <sz val="9"/>
        <color theme="1"/>
        <rFont val="맑은 고딕"/>
        <family val="2"/>
        <charset val="129"/>
      </rPr>
      <t xml:space="preserve">는 </t>
    </r>
    <r>
      <rPr>
        <sz val="9"/>
        <color theme="1"/>
        <rFont val="Arial"/>
        <family val="2"/>
      </rPr>
      <t xml:space="preserve">git repo </t>
    </r>
    <r>
      <rPr>
        <sz val="9"/>
        <color theme="1"/>
        <rFont val="맑은 고딕"/>
        <family val="2"/>
        <charset val="129"/>
      </rPr>
      <t>확인</t>
    </r>
    <r>
      <rPr>
        <sz val="9"/>
        <color theme="1"/>
        <rFont val="Arial"/>
        <family val="2"/>
        <charset val="129"/>
      </rPr>
      <t xml:space="preserve">
(https://github.com/leeyeonjung/appium_the_app/tree/main/tests/image)</t>
    </r>
    <phoneticPr fontId="18" type="noConversion"/>
  </si>
  <si>
    <t>Pass</t>
  </si>
  <si>
    <t>&lt;Android&gt;_x000D_
Q01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</si>
</sst>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0"/>
      <color rgb="FF000000"/>
      <name val="Arial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9"/>
      <color rgb="FF0000FF"/>
      <name val="Arial"/>
      <family val="2"/>
    </font>
    <font>
      <b/>
      <sz val="10"/>
      <color rgb="FF000000"/>
      <name val="&quot;Malgun Gothic&quot;"/>
    </font>
    <font>
      <sz val="10"/>
      <color rgb="FF000000"/>
      <name val="&quot;Malgun Gothic&quot;"/>
    </font>
    <font>
      <b/>
      <sz val="18"/>
      <color theme="1"/>
      <name val="Arial"/>
      <family val="2"/>
    </font>
    <font>
      <i/>
      <sz val="8"/>
      <color rgb="FFFF0000"/>
      <name val="Arial"/>
      <family val="2"/>
      <scheme val="minor"/>
    </font>
    <font>
      <b/>
      <sz val="12"/>
      <color rgb="FF38761D"/>
      <name val="Arial"/>
      <family val="2"/>
    </font>
    <font>
      <b/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666666"/>
      <name val="Arial"/>
      <family val="2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2"/>
      <charset val="129"/>
    </font>
    <font>
      <sz val="9"/>
      <color theme="1"/>
      <name val="Arial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9"/>
      <color theme="1"/>
      <name val="맑은 고딕"/>
      <family val="3"/>
      <charset val="129"/>
    </font>
    <font>
      <sz val="8"/>
      <color theme="1"/>
      <name val="Arial"/>
      <family val="2"/>
      <scheme val="major"/>
    </font>
    <font>
      <sz val="9"/>
      <color theme="1"/>
      <name val="Arial"/>
      <family val="2"/>
      <scheme val="major"/>
    </font>
    <font>
      <b/>
      <sz val="9"/>
      <color theme="1"/>
      <name val="Arial"/>
      <family val="2"/>
      <scheme val="major"/>
    </font>
    <font>
      <sz val="9"/>
      <color theme="1"/>
      <name val="Arial"/>
      <family val="2"/>
      <charset val="129"/>
      <scheme val="major"/>
    </font>
    <font>
      <sz val="9"/>
      <color theme="1"/>
      <name val="Arial"/>
      <family val="3"/>
      <charset val="129"/>
      <scheme val="major"/>
    </font>
    <font>
      <b/>
      <sz val="9"/>
      <color theme="1"/>
      <name val="Arial"/>
      <family val="3"/>
      <charset val="129"/>
      <scheme val="major"/>
    </font>
    <font>
      <b/>
      <sz val="9"/>
      <color theme="1"/>
      <name val="Arial"/>
      <family val="2"/>
      <charset val="129"/>
      <scheme val="major"/>
    </font>
    <font>
      <b/>
      <sz val="9"/>
      <color theme="1"/>
      <name val="맑은 고딕"/>
      <family val="2"/>
      <charset val="129"/>
    </font>
    <font>
      <i/>
      <sz val="11"/>
      <color theme="1"/>
      <name val="Arial"/>
      <family val="2"/>
      <scheme val="major"/>
    </font>
    <font>
      <sz val="10"/>
      <color theme="1"/>
      <name val="Arial"/>
      <family val="2"/>
      <scheme val="major"/>
    </font>
    <font>
      <sz val="10"/>
      <color theme="1"/>
      <name val="Arial"/>
      <family val="3"/>
      <charset val="129"/>
      <scheme val="major"/>
    </font>
    <font>
      <sz val="10"/>
      <color theme="1"/>
      <name val="맑은 고딕"/>
      <family val="2"/>
      <charset val="129"/>
    </font>
    <font>
      <b/>
      <sz val="9"/>
      <color theme="0"/>
      <name val="Arial"/>
      <family val="2"/>
      <scheme val="major"/>
    </font>
    <font>
      <sz val="10"/>
      <color theme="0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073763"/>
        <bgColor rgb="FF073763"/>
      </patternFill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00FFFF"/>
      </patternFill>
    </fill>
    <fill>
      <patternFill patternType="solid">
        <fgColor theme="0"/>
        <bgColor rgb="FFD0E0E3"/>
      </patternFill>
    </fill>
    <fill>
      <patternFill patternType="solid">
        <fgColor theme="0"/>
        <bgColor rgb="FFCCCCCC"/>
      </patternFill>
    </fill>
  </fills>
  <borders count="11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>
      <alignment vertical="center"/>
    </xf>
  </cellStyleXfs>
  <cellXfs count="99">
    <xf numFmtId="0" fontId="0" fillId="0" borderId="0" xfId="0"/>
    <xf numFmtId="0" fontId="2" fillId="0" borderId="0" xfId="0" applyFont="1" applyAlignment="1">
      <alignment vertical="center"/>
    </xf>
    <xf numFmtId="0" fontId="5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vertical="center"/>
    </xf>
    <xf numFmtId="0" fontId="10" fillId="6" borderId="9" xfId="0" applyFont="1" applyFill="1" applyBorder="1" applyAlignment="1">
      <alignment horizontal="left" vertical="center"/>
    </xf>
    <xf numFmtId="0" fontId="2" fillId="6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 wrapText="1"/>
    </xf>
    <xf numFmtId="10" fontId="5" fillId="0" borderId="6" xfId="0" applyNumberFormat="1" applyFont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5" fillId="6" borderId="6" xfId="0" applyFont="1" applyFill="1" applyBorder="1" applyAlignment="1">
      <alignment vertical="center"/>
    </xf>
    <xf numFmtId="10" fontId="14" fillId="6" borderId="6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3" fillId="6" borderId="3" xfId="0" applyFont="1" applyFill="1" applyBorder="1" applyAlignment="1">
      <alignment vertical="center"/>
    </xf>
    <xf numFmtId="10" fontId="3" fillId="6" borderId="6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7" borderId="9" xfId="0" applyFont="1" applyFill="1" applyBorder="1" applyAlignment="1">
      <alignment vertical="center"/>
    </xf>
    <xf numFmtId="0" fontId="0" fillId="7" borderId="9" xfId="0" applyFill="1" applyBorder="1"/>
    <xf numFmtId="0" fontId="5" fillId="7" borderId="9" xfId="0" applyFont="1" applyFill="1" applyBorder="1" applyAlignment="1">
      <alignment vertical="center"/>
    </xf>
    <xf numFmtId="0" fontId="5" fillId="10" borderId="9" xfId="0" applyFont="1" applyFill="1" applyBorder="1"/>
    <xf numFmtId="0" fontId="3" fillId="10" borderId="9" xfId="0" applyFont="1" applyFill="1" applyBorder="1"/>
    <xf numFmtId="0" fontId="9" fillId="7" borderId="9" xfId="0" applyFont="1" applyFill="1" applyBorder="1" applyAlignment="1">
      <alignment horizontal="center" wrapText="1"/>
    </xf>
    <xf numFmtId="0" fontId="5" fillId="7" borderId="9" xfId="0" applyFont="1" applyFill="1" applyBorder="1"/>
    <xf numFmtId="0" fontId="5" fillId="11" borderId="9" xfId="0" applyFont="1" applyFill="1" applyBorder="1"/>
    <xf numFmtId="0" fontId="5" fillId="7" borderId="9" xfId="0" applyFont="1" applyFill="1" applyBorder="1" applyAlignment="1">
      <alignment horizontal="right"/>
    </xf>
    <xf numFmtId="0" fontId="2" fillId="11" borderId="9" xfId="0" applyFont="1" applyFill="1" applyBorder="1" applyAlignment="1">
      <alignment vertical="center"/>
    </xf>
    <xf numFmtId="0" fontId="8" fillId="7" borderId="9" xfId="0" applyFont="1" applyFill="1" applyBorder="1" applyAlignment="1">
      <alignment horizontal="center" wrapText="1"/>
    </xf>
    <xf numFmtId="0" fontId="9" fillId="9" borderId="9" xfId="0" applyFont="1" applyFill="1" applyBorder="1" applyAlignment="1">
      <alignment horizontal="center" wrapText="1"/>
    </xf>
    <xf numFmtId="0" fontId="2" fillId="9" borderId="9" xfId="0" applyFont="1" applyFill="1" applyBorder="1" applyAlignment="1">
      <alignment vertical="center"/>
    </xf>
    <xf numFmtId="0" fontId="5" fillId="9" borderId="9" xfId="0" applyFont="1" applyFill="1" applyBorder="1"/>
    <xf numFmtId="0" fontId="9" fillId="12" borderId="9" xfId="0" applyFont="1" applyFill="1" applyBorder="1" applyAlignment="1">
      <alignment horizontal="center" wrapText="1"/>
    </xf>
    <xf numFmtId="0" fontId="2" fillId="12" borderId="9" xfId="0" applyFont="1" applyFill="1" applyBorder="1" applyAlignment="1">
      <alignment vertical="center"/>
    </xf>
    <xf numFmtId="0" fontId="2" fillId="11" borderId="9" xfId="0" applyFont="1" applyFill="1" applyBorder="1" applyAlignment="1">
      <alignment horizontal="right" vertical="center"/>
    </xf>
    <xf numFmtId="0" fontId="5" fillId="12" borderId="9" xfId="0" applyFont="1" applyFill="1" applyBorder="1"/>
    <xf numFmtId="0" fontId="8" fillId="12" borderId="9" xfId="0" applyFont="1" applyFill="1" applyBorder="1" applyAlignment="1">
      <alignment horizontal="center" wrapText="1"/>
    </xf>
    <xf numFmtId="0" fontId="4" fillId="0" borderId="8" xfId="0" applyFont="1" applyBorder="1" applyAlignment="1">
      <alignment horizontal="center" vertical="center" wrapText="1"/>
    </xf>
    <xf numFmtId="0" fontId="1" fillId="0" borderId="6" xfId="0" applyFont="1" applyBorder="1"/>
    <xf numFmtId="0" fontId="4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4" fillId="5" borderId="8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vertical="top" wrapText="1"/>
    </xf>
    <xf numFmtId="0" fontId="1" fillId="0" borderId="7" xfId="0" applyFont="1" applyBorder="1"/>
    <xf numFmtId="0" fontId="2" fillId="8" borderId="0" xfId="0" applyFont="1" applyFill="1" applyAlignment="1">
      <alignment vertical="center" wrapText="1"/>
    </xf>
    <xf numFmtId="0" fontId="0" fillId="7" borderId="0" xfId="0" applyFill="1"/>
    <xf numFmtId="0" fontId="12" fillId="3" borderId="4" xfId="0" applyFont="1" applyFill="1" applyBorder="1" applyAlignment="1">
      <alignment horizontal="center" vertical="center"/>
    </xf>
    <xf numFmtId="0" fontId="1" fillId="0" borderId="5" xfId="0" applyFont="1" applyBorder="1"/>
    <xf numFmtId="0" fontId="3" fillId="3" borderId="8" xfId="0" applyFont="1" applyFill="1" applyBorder="1" applyAlignment="1">
      <alignment vertical="center"/>
    </xf>
    <xf numFmtId="0" fontId="19" fillId="0" borderId="0" xfId="0" applyFont="1"/>
    <xf numFmtId="0" fontId="0" fillId="0" borderId="0" xfId="0" applyAlignment="1">
      <alignment vertical="center"/>
    </xf>
    <xf numFmtId="0" fontId="25" fillId="0" borderId="0" xfId="0" applyFont="1" applyAlignment="1">
      <alignment horizontal="left" vertical="center" wrapText="1"/>
    </xf>
    <xf numFmtId="0" fontId="26" fillId="0" borderId="0" xfId="0" applyFont="1" applyAlignment="1">
      <alignment vertical="center" wrapText="1"/>
    </xf>
    <xf numFmtId="49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49" fontId="26" fillId="0" borderId="0" xfId="0" applyNumberFormat="1" applyFont="1" applyAlignment="1">
      <alignment vertical="center" wrapText="1"/>
    </xf>
    <xf numFmtId="0" fontId="26" fillId="0" borderId="0" xfId="0" applyFont="1" applyAlignment="1">
      <alignment horizontal="left" vertical="center" wrapText="1"/>
    </xf>
    <xf numFmtId="0" fontId="27" fillId="0" borderId="6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49" fontId="26" fillId="0" borderId="6" xfId="0" applyNumberFormat="1" applyFont="1" applyBorder="1" applyAlignment="1">
      <alignment vertical="center" wrapText="1"/>
    </xf>
    <xf numFmtId="0" fontId="26" fillId="0" borderId="6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49" fontId="26" fillId="0" borderId="10" xfId="0" applyNumberFormat="1" applyFont="1" applyBorder="1" applyAlignment="1">
      <alignment vertical="center" wrapText="1"/>
    </xf>
    <xf numFmtId="0" fontId="26" fillId="0" borderId="10" xfId="0" applyFont="1" applyBorder="1" applyAlignment="1">
      <alignment vertical="center" wrapText="1"/>
    </xf>
    <xf numFmtId="0" fontId="26" fillId="0" borderId="2" xfId="0" applyFont="1" applyBorder="1" applyAlignment="1">
      <alignment vertical="center" wrapText="1"/>
    </xf>
    <xf numFmtId="0" fontId="26" fillId="0" borderId="6" xfId="0" applyFont="1" applyBorder="1" applyAlignment="1">
      <alignment horizontal="left" vertical="center" wrapText="1"/>
    </xf>
    <xf numFmtId="9" fontId="27" fillId="0" borderId="6" xfId="1" applyFont="1" applyBorder="1" applyAlignment="1">
      <alignment horizontal="center" vertical="center" wrapText="1"/>
    </xf>
    <xf numFmtId="9" fontId="26" fillId="0" borderId="6" xfId="1" applyFont="1" applyBorder="1" applyAlignment="1">
      <alignment vertical="center" wrapText="1"/>
    </xf>
    <xf numFmtId="9" fontId="26" fillId="0" borderId="6" xfId="1" applyFont="1" applyBorder="1" applyAlignment="1">
      <alignment horizontal="center" vertical="center" wrapText="1"/>
    </xf>
    <xf numFmtId="9" fontId="26" fillId="0" borderId="1" xfId="1" applyFont="1" applyBorder="1" applyAlignment="1">
      <alignment vertical="center" wrapText="1"/>
    </xf>
    <xf numFmtId="9" fontId="26" fillId="0" borderId="10" xfId="1" applyFont="1" applyBorder="1" applyAlignment="1">
      <alignment vertical="center" wrapText="1"/>
    </xf>
    <xf numFmtId="9" fontId="26" fillId="0" borderId="2" xfId="1" applyFont="1" applyBorder="1" applyAlignment="1">
      <alignment vertical="center" wrapText="1"/>
    </xf>
    <xf numFmtId="9" fontId="26" fillId="0" borderId="6" xfId="1" applyFont="1" applyBorder="1" applyAlignment="1">
      <alignment horizontal="left" vertical="center" wrapText="1"/>
    </xf>
    <xf numFmtId="9" fontId="0" fillId="0" borderId="0" xfId="1" applyFont="1" applyAlignment="1"/>
    <xf numFmtId="9" fontId="32" fillId="0" borderId="6" xfId="1" applyFont="1" applyBorder="1" applyAlignment="1">
      <alignment horizontal="center" vertical="center" wrapText="1"/>
    </xf>
    <xf numFmtId="9" fontId="28" fillId="0" borderId="6" xfId="1" applyFont="1" applyBorder="1" applyAlignment="1">
      <alignment vertical="center" wrapText="1"/>
    </xf>
    <xf numFmtId="9" fontId="4" fillId="0" borderId="6" xfId="1" applyFont="1" applyBorder="1" applyAlignment="1">
      <alignment horizontal="center" vertical="center" wrapText="1"/>
    </xf>
    <xf numFmtId="9" fontId="6" fillId="0" borderId="6" xfId="1" applyFont="1" applyBorder="1" applyAlignment="1">
      <alignment horizontal="center" vertical="center" wrapText="1"/>
    </xf>
    <xf numFmtId="9" fontId="6" fillId="0" borderId="6" xfId="1" applyFont="1" applyBorder="1" applyAlignment="1">
      <alignment vertical="center" wrapText="1"/>
    </xf>
    <xf numFmtId="9" fontId="6" fillId="0" borderId="1" xfId="1" applyFont="1" applyBorder="1" applyAlignment="1">
      <alignment vertical="center" wrapText="1"/>
    </xf>
    <xf numFmtId="9" fontId="6" fillId="0" borderId="10" xfId="1" applyFont="1" applyBorder="1" applyAlignment="1">
      <alignment vertical="center" wrapText="1"/>
    </xf>
    <xf numFmtId="9" fontId="0" fillId="0" borderId="10" xfId="1" applyFont="1" applyBorder="1" applyAlignment="1">
      <alignment vertical="center"/>
    </xf>
    <xf numFmtId="9" fontId="6" fillId="0" borderId="2" xfId="1" applyFont="1" applyBorder="1" applyAlignment="1">
      <alignment vertical="center" wrapText="1"/>
    </xf>
    <xf numFmtId="9" fontId="6" fillId="0" borderId="6" xfId="1" applyFont="1" applyBorder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34" fillId="0" borderId="10" xfId="0" applyFont="1" applyBorder="1" applyAlignment="1">
      <alignment vertical="center" wrapText="1"/>
    </xf>
    <xf numFmtId="9" fontId="34" fillId="0" borderId="10" xfId="1" applyFont="1" applyBorder="1" applyAlignment="1">
      <alignment vertical="center" wrapText="1"/>
    </xf>
    <xf numFmtId="9" fontId="21" fillId="0" borderId="6" xfId="1" applyFont="1" applyBorder="1" applyAlignment="1">
      <alignment vertical="center" wrapText="1"/>
    </xf>
    <xf numFmtId="9" fontId="7" fillId="0" borderId="6" xfId="1" applyFont="1" applyBorder="1" applyAlignment="1">
      <alignment vertical="center" wrapText="1"/>
    </xf>
    <xf numFmtId="0" fontId="37" fillId="4" borderId="3" xfId="0" applyFont="1" applyFill="1" applyBorder="1" applyAlignment="1">
      <alignment horizontal="center" vertical="center" wrapText="1"/>
    </xf>
    <xf numFmtId="0" fontId="37" fillId="4" borderId="4" xfId="0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/>
    </xf>
  </cellXfs>
  <cellStyles count="2">
    <cellStyle name="백분율" xfId="1" builtinId="5"/>
    <cellStyle name="표준" xfId="0" builtinId="0"/>
  </cellStyles>
  <dxfs count="4"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none"/>
      </fill>
    </dxf>
    <dxf>
      <font>
        <color rgb="FFCC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9DAF8"/>
    <outlinePr summaryBelow="0" summaryRight="0"/>
  </sheetPr>
  <dimension ref="A1:T881"/>
  <sheetViews>
    <sheetView showGridLines="0" topLeftCell="D1" workbookViewId="0">
      <selection activeCell="H3" sqref="H3:H4"/>
    </sheetView>
  </sheetViews>
  <sheetFormatPr defaultColWidth="12.6640625" defaultRowHeight="15.75" customHeight="1"/>
  <cols>
    <col min="1" max="1" width="4.109375" customWidth="1"/>
    <col min="2" max="2" width="11.6640625" customWidth="1"/>
    <col min="3" max="3" width="33.109375" customWidth="1"/>
    <col min="4" max="4" width="18.33203125" customWidth="1"/>
    <col min="7" max="7" width="11.33203125" customWidth="1"/>
    <col min="12" max="14" width="8" customWidth="1"/>
    <col min="15" max="15" width="9.109375" customWidth="1"/>
    <col min="18" max="18" width="10.6640625" customWidth="1"/>
  </cols>
  <sheetData>
    <row r="1" spans="1:20" ht="6.75" customHeight="1">
      <c r="A1" s="1" t="s">
        <v>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customHeight="1">
      <c r="A2" s="1"/>
      <c r="B2" s="4" t="s">
        <v>34</v>
      </c>
      <c r="C2" s="4"/>
      <c r="D2" s="5"/>
      <c r="E2" s="51"/>
      <c r="F2" s="52"/>
      <c r="G2" s="1"/>
      <c r="H2" s="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ht="13.2">
      <c r="A3" s="1"/>
      <c r="B3" s="53"/>
      <c r="C3" s="55" t="s">
        <v>19</v>
      </c>
      <c r="D3" s="43" t="s">
        <v>20</v>
      </c>
      <c r="E3" s="43" t="s">
        <v>21</v>
      </c>
      <c r="F3" s="43" t="s">
        <v>22</v>
      </c>
      <c r="G3" s="43" t="s">
        <v>23</v>
      </c>
      <c r="H3" s="43" t="s">
        <v>24</v>
      </c>
      <c r="I3" s="43" t="s">
        <v>25</v>
      </c>
      <c r="J3" s="43" t="s">
        <v>26</v>
      </c>
      <c r="K3" s="44" t="s">
        <v>27</v>
      </c>
      <c r="L3" s="45" t="s">
        <v>28</v>
      </c>
      <c r="M3" s="46"/>
      <c r="N3" s="47"/>
      <c r="O3" s="48" t="s">
        <v>29</v>
      </c>
      <c r="P3" s="40" t="s">
        <v>30</v>
      </c>
      <c r="Q3" s="40" t="s">
        <v>31</v>
      </c>
      <c r="R3" s="42" t="s">
        <v>32</v>
      </c>
      <c r="S3" s="1"/>
      <c r="T3" s="1"/>
    </row>
    <row r="4" spans="1:20" ht="13.2">
      <c r="A4" s="1"/>
      <c r="B4" s="54"/>
      <c r="C4" s="41"/>
      <c r="D4" s="41"/>
      <c r="E4" s="41"/>
      <c r="F4" s="41"/>
      <c r="G4" s="41"/>
      <c r="H4" s="41"/>
      <c r="I4" s="41"/>
      <c r="J4" s="41"/>
      <c r="K4" s="41"/>
      <c r="L4" s="7" t="s">
        <v>16</v>
      </c>
      <c r="M4" s="7" t="s">
        <v>15</v>
      </c>
      <c r="N4" s="7" t="s">
        <v>17</v>
      </c>
      <c r="O4" s="41"/>
      <c r="P4" s="41"/>
      <c r="Q4" s="41"/>
      <c r="R4" s="41"/>
      <c r="S4" s="1"/>
      <c r="T4" s="1"/>
    </row>
    <row r="5" spans="1:20" ht="13.2">
      <c r="A5" s="1"/>
      <c r="B5" s="2">
        <v>1</v>
      </c>
      <c r="C5" s="7" t="s">
        <v>39</v>
      </c>
      <c r="D5" s="49" t="s">
        <v>51</v>
      </c>
      <c r="E5" s="8">
        <f t="shared" ref="E5:E16" si="0">IFERROR(I5/(R5-P5-Q5),0)</f>
        <v>0</v>
      </c>
      <c r="F5" s="8">
        <f t="shared" ref="F5:F16" si="1">IFERROR(J5/I5,0)</f>
        <v>0</v>
      </c>
      <c r="G5" s="8">
        <f t="shared" ref="G5:G16" si="2">IFERROR(I5/(R5-P5),0)</f>
        <v>0</v>
      </c>
      <c r="H5" s="3" t="e">
        <f t="shared" ref="H5:H16" si="3">R5-Q5-P5</f>
        <v>#REF!</v>
      </c>
      <c r="I5" s="3" t="e">
        <f t="shared" ref="I5:I16" si="4">J5+K5</f>
        <v>#REF!</v>
      </c>
      <c r="J5" s="3" t="e">
        <f>COUNTIFS(#REF!, C5,#REF!, "Pass",#REF!, "Pass") + COUNTIFS(#REF!, C5,#REF!, "Pass",#REF!, "N/T") + COUNTIFS(#REF!, C5,#REF!, "Pass",#REF!, "N/A") + COUNTIFS(#REF!, C5,#REF!, "N/T",#REF!, "Pass") + COUNTIFS(#REF!, C5,#REF!, "N/A",#REF!, "Pass")</f>
        <v>#REF!</v>
      </c>
      <c r="K5" s="3" t="e">
        <f t="shared" ref="K5:K16" si="5">L5+M5+N5+O5</f>
        <v>#REF!</v>
      </c>
      <c r="L5" s="3" t="e">
        <f>COUNTIFS(#REF!,C5,#REF!,"P1*",#REF!,"Fail") + COUNTIFS(#REF!,C5,#REF!,"P1*",#REF!,"Fail") - COUNTIFS(#REF!,C5,#REF!,"P1*",#REF!,"Fail",#REF!,"Fail")</f>
        <v>#REF!</v>
      </c>
      <c r="M5" s="3" t="e">
        <f>COUNTIFS(#REF!,C5,#REF!,"P2*",#REF!,"Fail") + COUNTIFS(#REF!,C5,#REF!,"P2*",#REF!,"Fail") - COUNTIFS(#REF!,C5,#REF!,"P2*",#REF!,"Fail",#REF!,"Fail")</f>
        <v>#REF!</v>
      </c>
      <c r="N5" s="3" t="e">
        <f>COUNTIFS(#REF!,C5,#REF!,"P3*",#REF!,"Fail") + COUNTIFS(#REF!,C5,#REF!,"P3*",#REF!,"Fail") - COUNTIFS(#REF!,C5,#REF!,"P3*",#REF!,"Fail",#REF!,"Fail")</f>
        <v>#REF!</v>
      </c>
      <c r="O5" s="3" t="e">
        <f>COUNTIFS(#REF!,C5,#REF!,"Blocked") + COUNTIFS(#REF!,C5,#REF!,"Blocked") - COUNTIFS(#REF!,C5,#REF!,"Blocked",#REF!,"Blocked")</f>
        <v>#REF!</v>
      </c>
      <c r="P5" s="3" t="e">
        <f>COUNTIFS(#REF!, C5,#REF!, "N/T",#REF!, "N/T")+COUNTIFS(#REF!, C5,#REF!, "N/T",#REF!, "N/A") +COUNTIFS(#REF!, C5,#REF!, "N/A",#REF!, "N/T")</f>
        <v>#REF!</v>
      </c>
      <c r="Q5" s="3" t="e">
        <f>COUNTIFS(#REF!, C5,#REF!, "N/A",#REF!, "N/A")</f>
        <v>#REF!</v>
      </c>
      <c r="R5" s="3" t="e">
        <f>COUNTIFS(#REF!,C5,#REF!,"&lt;&gt;")</f>
        <v>#REF!</v>
      </c>
      <c r="S5" s="1"/>
      <c r="T5" s="1"/>
    </row>
    <row r="6" spans="1:20" ht="13.2">
      <c r="A6" s="1"/>
      <c r="B6" s="2">
        <v>2</v>
      </c>
      <c r="C6" s="7" t="s">
        <v>40</v>
      </c>
      <c r="D6" s="50"/>
      <c r="E6" s="8">
        <f t="shared" si="0"/>
        <v>0</v>
      </c>
      <c r="F6" s="8">
        <f t="shared" si="1"/>
        <v>0</v>
      </c>
      <c r="G6" s="8">
        <f t="shared" si="2"/>
        <v>0</v>
      </c>
      <c r="H6" s="3" t="e">
        <f t="shared" si="3"/>
        <v>#REF!</v>
      </c>
      <c r="I6" s="3" t="e">
        <f t="shared" si="4"/>
        <v>#REF!</v>
      </c>
      <c r="J6" s="3" t="e">
        <f>COUNTIFS(#REF!, C6,#REF!, "Pass",#REF!, "Pass") + COUNTIFS(#REF!, C6,#REF!, "Pass",#REF!, "N/T") + COUNTIFS(#REF!, C6,#REF!, "Pass",#REF!, "N/A") + COUNTIFS(#REF!, C6,#REF!, "N/T",#REF!, "Pass") + COUNTIFS(#REF!, C6,#REF!, "N/A",#REF!, "Pass")</f>
        <v>#REF!</v>
      </c>
      <c r="K6" s="3" t="e">
        <f t="shared" si="5"/>
        <v>#REF!</v>
      </c>
      <c r="L6" s="3" t="e">
        <f>COUNTIFS(#REF!,C6,#REF!,"P1*",#REF!,"Fail") + COUNTIFS(#REF!,C6,#REF!,"P1*",#REF!,"Fail") - COUNTIFS(#REF!,C6,#REF!,"P1*",#REF!,"Fail",#REF!,"Fail")</f>
        <v>#REF!</v>
      </c>
      <c r="M6" s="3" t="e">
        <f>COUNTIFS(#REF!,C6,#REF!,"P2*",#REF!,"Fail") + COUNTIFS(#REF!,C6,#REF!,"P2*",#REF!,"Fail") - COUNTIFS(#REF!,C6,#REF!,"P2*",#REF!,"Fail",#REF!,"Fail")</f>
        <v>#REF!</v>
      </c>
      <c r="N6" s="3" t="e">
        <f>COUNTIFS(#REF!,C6,#REF!,"P3*",#REF!,"Fail") + COUNTIFS(#REF!,C6,#REF!,"P3*",#REF!,"Fail") - COUNTIFS(#REF!,C6,#REF!,"P3*",#REF!,"Fail",#REF!,"Fail")</f>
        <v>#REF!</v>
      </c>
      <c r="O6" s="3" t="e">
        <f>COUNTIFS(#REF!,C6,#REF!,"Blocked") + COUNTIFS(#REF!,C6,#REF!,"Blocked") - COUNTIFS(#REF!,C6,#REF!,"Blocked",#REF!,"Blocked")</f>
        <v>#REF!</v>
      </c>
      <c r="P6" s="3" t="e">
        <f>COUNTIFS(#REF!, C6,#REF!, "N/T",#REF!, "N/T")+COUNTIFS(#REF!, C6,#REF!, "N/T",#REF!, "N/A") +COUNTIFS(#REF!, C6,#REF!, "N/A",#REF!, "N/T")</f>
        <v>#REF!</v>
      </c>
      <c r="Q6" s="3" t="e">
        <f>COUNTIFS(#REF!, C6,#REF!, "N/A",#REF!, "N/A")</f>
        <v>#REF!</v>
      </c>
      <c r="R6" s="3" t="e">
        <f>COUNTIFS(#REF!,C6,#REF!,"&lt;&gt;")</f>
        <v>#REF!</v>
      </c>
      <c r="S6" s="1"/>
      <c r="T6" s="1"/>
    </row>
    <row r="7" spans="1:20" ht="13.2">
      <c r="A7" s="1"/>
      <c r="B7" s="2">
        <v>3</v>
      </c>
      <c r="C7" s="7" t="s">
        <v>41</v>
      </c>
      <c r="D7" s="50"/>
      <c r="E7" s="8">
        <f t="shared" si="0"/>
        <v>0</v>
      </c>
      <c r="F7" s="8">
        <f t="shared" si="1"/>
        <v>0</v>
      </c>
      <c r="G7" s="8">
        <f t="shared" si="2"/>
        <v>0</v>
      </c>
      <c r="H7" s="3" t="e">
        <f t="shared" si="3"/>
        <v>#REF!</v>
      </c>
      <c r="I7" s="3" t="e">
        <f t="shared" si="4"/>
        <v>#REF!</v>
      </c>
      <c r="J7" s="3" t="e">
        <f>COUNTIFS(#REF!, C7,#REF!, "Pass",#REF!, "Pass") + COUNTIFS(#REF!, C7,#REF!, "Pass",#REF!, "N/T") + COUNTIFS(#REF!, C7,#REF!, "Pass",#REF!, "N/A") + COUNTIFS(#REF!, C7,#REF!, "N/T",#REF!, "Pass") + COUNTIFS(#REF!, C7,#REF!, "N/A",#REF!, "Pass")</f>
        <v>#REF!</v>
      </c>
      <c r="K7" s="3" t="e">
        <f t="shared" si="5"/>
        <v>#REF!</v>
      </c>
      <c r="L7" s="3" t="e">
        <f>COUNTIFS(#REF!,C7,#REF!,"P1*",#REF!,"Fail") + COUNTIFS(#REF!,C7,#REF!,"P1*",#REF!,"Fail") - COUNTIFS(#REF!,C7,#REF!,"P1*",#REF!,"Fail",#REF!,"Fail")</f>
        <v>#REF!</v>
      </c>
      <c r="M7" s="3" t="e">
        <f>COUNTIFS(#REF!,C7,#REF!,"P2*",#REF!,"Fail") + COUNTIFS(#REF!,C7,#REF!,"P2*",#REF!,"Fail") - COUNTIFS(#REF!,C7,#REF!,"P2*",#REF!,"Fail",#REF!,"Fail")</f>
        <v>#REF!</v>
      </c>
      <c r="N7" s="3" t="e">
        <f>COUNTIFS(#REF!,C7,#REF!,"P3*",#REF!,"Fail") + COUNTIFS(#REF!,C7,#REF!,"P3*",#REF!,"Fail") - COUNTIFS(#REF!,C7,#REF!,"P3*",#REF!,"Fail",#REF!,"Fail")</f>
        <v>#REF!</v>
      </c>
      <c r="O7" s="3" t="e">
        <f>COUNTIFS(#REF!,C7,#REF!,"Blocked") + COUNTIFS(#REF!,C7,#REF!,"Blocked") - COUNTIFS(#REF!,C7,#REF!,"Blocked",#REF!,"Blocked")</f>
        <v>#REF!</v>
      </c>
      <c r="P7" s="3" t="e">
        <f>COUNTIFS(#REF!, C7,#REF!, "N/T",#REF!, "N/T")+COUNTIFS(#REF!, C7,#REF!, "N/T",#REF!, "N/A") +COUNTIFS(#REF!, C7,#REF!, "N/A",#REF!, "N/T")</f>
        <v>#REF!</v>
      </c>
      <c r="Q7" s="3" t="e">
        <f>COUNTIFS(#REF!, C7,#REF!, "N/A",#REF!, "N/A")</f>
        <v>#REF!</v>
      </c>
      <c r="R7" s="3" t="e">
        <f>COUNTIFS(#REF!,C7,#REF!,"&lt;&gt;")</f>
        <v>#REF!</v>
      </c>
      <c r="S7" s="1"/>
      <c r="T7" s="1"/>
    </row>
    <row r="8" spans="1:20" ht="13.2">
      <c r="A8" s="1"/>
      <c r="B8" s="2">
        <v>4</v>
      </c>
      <c r="C8" s="7" t="s">
        <v>42</v>
      </c>
      <c r="D8" s="50"/>
      <c r="E8" s="8">
        <f t="shared" si="0"/>
        <v>0</v>
      </c>
      <c r="F8" s="8">
        <f t="shared" si="1"/>
        <v>0</v>
      </c>
      <c r="G8" s="8">
        <f t="shared" si="2"/>
        <v>0</v>
      </c>
      <c r="H8" s="3" t="e">
        <f t="shared" si="3"/>
        <v>#REF!</v>
      </c>
      <c r="I8" s="3" t="e">
        <f t="shared" si="4"/>
        <v>#REF!</v>
      </c>
      <c r="J8" s="3" t="e">
        <f>COUNTIFS(#REF!, C8,#REF!, "Pass",#REF!, "Pass") + COUNTIFS(#REF!, C8,#REF!, "Pass",#REF!, "N/T") + COUNTIFS(#REF!, C8,#REF!, "Pass",#REF!, "N/A") + COUNTIFS(#REF!, C8,#REF!, "N/T",#REF!, "Pass") + COUNTIFS(#REF!, C8,#REF!, "N/A",#REF!, "Pass")</f>
        <v>#REF!</v>
      </c>
      <c r="K8" s="3" t="e">
        <f t="shared" si="5"/>
        <v>#REF!</v>
      </c>
      <c r="L8" s="3" t="e">
        <f>COUNTIFS(#REF!,C8,#REF!,"P1*",#REF!,"Fail") + COUNTIFS(#REF!,C8,#REF!,"P1*",#REF!,"Fail") - COUNTIFS(#REF!,C8,#REF!,"P1*",#REF!,"Fail",#REF!,"Fail")</f>
        <v>#REF!</v>
      </c>
      <c r="M8" s="3" t="e">
        <f>COUNTIFS(#REF!,C8,#REF!,"P2*",#REF!,"Fail") + COUNTIFS(#REF!,C8,#REF!,"P2*",#REF!,"Fail") - COUNTIFS(#REF!,C8,#REF!,"P2*",#REF!,"Fail",#REF!,"Fail")</f>
        <v>#REF!</v>
      </c>
      <c r="N8" s="3" t="e">
        <f>COUNTIFS(#REF!,C8,#REF!,"P3*",#REF!,"Fail") + COUNTIFS(#REF!,C8,#REF!,"P3*",#REF!,"Fail") - COUNTIFS(#REF!,C8,#REF!,"P3*",#REF!,"Fail",#REF!,"Fail")</f>
        <v>#REF!</v>
      </c>
      <c r="O8" s="3" t="e">
        <f>COUNTIFS(#REF!,C8,#REF!,"Blocked") + COUNTIFS(#REF!,C8,#REF!,"Blocked") - COUNTIFS(#REF!,C8,#REF!,"Blocked",#REF!,"Blocked")</f>
        <v>#REF!</v>
      </c>
      <c r="P8" s="3" t="e">
        <f>COUNTIFS(#REF!, C8,#REF!, "N/T",#REF!, "N/T")+COUNTIFS(#REF!, C8,#REF!, "N/T",#REF!, "N/A") +COUNTIFS(#REF!, C8,#REF!, "N/A",#REF!, "N/T")</f>
        <v>#REF!</v>
      </c>
      <c r="Q8" s="3" t="e">
        <f>COUNTIFS(#REF!, C8,#REF!, "N/A",#REF!, "N/A")</f>
        <v>#REF!</v>
      </c>
      <c r="R8" s="3" t="e">
        <f>COUNTIFS(#REF!,C8,#REF!,"&lt;&gt;")</f>
        <v>#REF!</v>
      </c>
      <c r="S8" s="1"/>
      <c r="T8" s="1"/>
    </row>
    <row r="9" spans="1:20" ht="13.2">
      <c r="A9" s="1"/>
      <c r="B9" s="2">
        <v>5</v>
      </c>
      <c r="C9" s="7" t="s">
        <v>43</v>
      </c>
      <c r="D9" s="50"/>
      <c r="E9" s="8">
        <f t="shared" si="0"/>
        <v>0</v>
      </c>
      <c r="F9" s="8">
        <f t="shared" si="1"/>
        <v>0</v>
      </c>
      <c r="G9" s="8">
        <f t="shared" si="2"/>
        <v>0</v>
      </c>
      <c r="H9" s="3" t="e">
        <f t="shared" si="3"/>
        <v>#REF!</v>
      </c>
      <c r="I9" s="3" t="e">
        <f t="shared" si="4"/>
        <v>#REF!</v>
      </c>
      <c r="J9" s="3" t="e">
        <f>COUNTIFS(#REF!, C9,#REF!, "Pass",#REF!, "Pass") + COUNTIFS(#REF!, C9,#REF!, "Pass",#REF!, "N/T") + COUNTIFS(#REF!, C9,#REF!, "Pass",#REF!, "N/A") + COUNTIFS(#REF!, C9,#REF!, "N/T",#REF!, "Pass") + COUNTIFS(#REF!, C9,#REF!, "N/A",#REF!, "Pass")</f>
        <v>#REF!</v>
      </c>
      <c r="K9" s="3" t="e">
        <f t="shared" si="5"/>
        <v>#REF!</v>
      </c>
      <c r="L9" s="3" t="e">
        <f>COUNTIFS(#REF!,C9,#REF!,"P1*",#REF!,"Fail") + COUNTIFS(#REF!,C9,#REF!,"P1*",#REF!,"Fail") - COUNTIFS(#REF!,C9,#REF!,"P1*",#REF!,"Fail",#REF!,"Fail")</f>
        <v>#REF!</v>
      </c>
      <c r="M9" s="3" t="e">
        <f>COUNTIFS(#REF!,C9,#REF!,"P2*",#REF!,"Fail") + COUNTIFS(#REF!,C9,#REF!,"P2*",#REF!,"Fail") - COUNTIFS(#REF!,C9,#REF!,"P2*",#REF!,"Fail",#REF!,"Fail")</f>
        <v>#REF!</v>
      </c>
      <c r="N9" s="3" t="e">
        <f>COUNTIFS(#REF!,C9,#REF!,"P3*",#REF!,"Fail") + COUNTIFS(#REF!,C9,#REF!,"P3*",#REF!,"Fail") - COUNTIFS(#REF!,C9,#REF!,"P3*",#REF!,"Fail",#REF!,"Fail")</f>
        <v>#REF!</v>
      </c>
      <c r="O9" s="3" t="e">
        <f>COUNTIFS(#REF!,C9,#REF!,"Blocked") + COUNTIFS(#REF!,C9,#REF!,"Blocked") - COUNTIFS(#REF!,C9,#REF!,"Blocked",#REF!,"Blocked")</f>
        <v>#REF!</v>
      </c>
      <c r="P9" s="3" t="e">
        <f>COUNTIFS(#REF!, C9,#REF!, "N/T",#REF!, "N/T")+COUNTIFS(#REF!, C9,#REF!, "N/T",#REF!, "N/A") +COUNTIFS(#REF!, C9,#REF!, "N/A",#REF!, "N/T")</f>
        <v>#REF!</v>
      </c>
      <c r="Q9" s="3" t="e">
        <f>COUNTIFS(#REF!, C9,#REF!, "N/A",#REF!, "N/A")</f>
        <v>#REF!</v>
      </c>
      <c r="R9" s="3" t="e">
        <f>COUNTIFS(#REF!,C9,#REF!,"&lt;&gt;")</f>
        <v>#REF!</v>
      </c>
      <c r="S9" s="1"/>
      <c r="T9" s="1"/>
    </row>
    <row r="10" spans="1:20" ht="13.2">
      <c r="A10" s="1"/>
      <c r="B10" s="2">
        <v>6</v>
      </c>
      <c r="C10" s="7" t="s">
        <v>44</v>
      </c>
      <c r="D10" s="50"/>
      <c r="E10" s="8">
        <f t="shared" si="0"/>
        <v>0</v>
      </c>
      <c r="F10" s="8">
        <f t="shared" si="1"/>
        <v>0</v>
      </c>
      <c r="G10" s="8">
        <f t="shared" si="2"/>
        <v>0</v>
      </c>
      <c r="H10" s="3" t="e">
        <f t="shared" si="3"/>
        <v>#REF!</v>
      </c>
      <c r="I10" s="3" t="e">
        <f t="shared" si="4"/>
        <v>#REF!</v>
      </c>
      <c r="J10" s="3" t="e">
        <f>COUNTIFS(#REF!, C10,#REF!, "Pass",#REF!, "Pass") + COUNTIFS(#REF!, C10,#REF!, "Pass",#REF!, "N/T") + COUNTIFS(#REF!, C10,#REF!, "Pass",#REF!, "N/A") + COUNTIFS(#REF!, C10,#REF!, "N/T",#REF!, "Pass") + COUNTIFS(#REF!, C10,#REF!, "N/A",#REF!, "Pass")</f>
        <v>#REF!</v>
      </c>
      <c r="K10" s="3" t="e">
        <f t="shared" si="5"/>
        <v>#REF!</v>
      </c>
      <c r="L10" s="3" t="e">
        <f>COUNTIFS(#REF!,C10,#REF!,"P1*",#REF!,"Fail") + COUNTIFS(#REF!,C10,#REF!,"P1*",#REF!,"Fail") - COUNTIFS(#REF!,C10,#REF!,"P1*",#REF!,"Fail",#REF!,"Fail")</f>
        <v>#REF!</v>
      </c>
      <c r="M10" s="3" t="e">
        <f>COUNTIFS(#REF!,C10,#REF!,"P2*",#REF!,"Fail") + COUNTIFS(#REF!,C10,#REF!,"P2*",#REF!,"Fail") - COUNTIFS(#REF!,C10,#REF!,"P2*",#REF!,"Fail",#REF!,"Fail")</f>
        <v>#REF!</v>
      </c>
      <c r="N10" s="3" t="e">
        <f>COUNTIFS(#REF!,C10,#REF!,"P3*",#REF!,"Fail") + COUNTIFS(#REF!,C10,#REF!,"P3*",#REF!,"Fail") - COUNTIFS(#REF!,C10,#REF!,"P3*",#REF!,"Fail",#REF!,"Fail")</f>
        <v>#REF!</v>
      </c>
      <c r="O10" s="3" t="e">
        <f>COUNTIFS(#REF!,C10,#REF!,"Blocked") + COUNTIFS(#REF!,C10,#REF!,"Blocked") - COUNTIFS(#REF!,C10,#REF!,"Blocked",#REF!,"Blocked")</f>
        <v>#REF!</v>
      </c>
      <c r="P10" s="3" t="e">
        <f>COUNTIFS(#REF!, C10,#REF!, "N/T",#REF!, "N/T")+COUNTIFS(#REF!, C10,#REF!, "N/T",#REF!, "N/A") +COUNTIFS(#REF!, C10,#REF!, "N/A",#REF!, "N/T")</f>
        <v>#REF!</v>
      </c>
      <c r="Q10" s="3" t="e">
        <f>COUNTIFS(#REF!, C10,#REF!, "N/A",#REF!, "N/A")</f>
        <v>#REF!</v>
      </c>
      <c r="R10" s="3" t="e">
        <f>COUNTIFS(#REF!,C10,#REF!,"&lt;&gt;")</f>
        <v>#REF!</v>
      </c>
      <c r="S10" s="1"/>
      <c r="T10" s="1"/>
    </row>
    <row r="11" spans="1:20" ht="13.2">
      <c r="A11" s="1"/>
      <c r="B11" s="2">
        <v>7</v>
      </c>
      <c r="C11" s="7" t="s">
        <v>45</v>
      </c>
      <c r="D11" s="50"/>
      <c r="E11" s="8">
        <f t="shared" si="0"/>
        <v>0</v>
      </c>
      <c r="F11" s="8">
        <f t="shared" si="1"/>
        <v>0</v>
      </c>
      <c r="G11" s="8">
        <f t="shared" si="2"/>
        <v>0</v>
      </c>
      <c r="H11" s="3" t="e">
        <f t="shared" si="3"/>
        <v>#REF!</v>
      </c>
      <c r="I11" s="3" t="e">
        <f t="shared" si="4"/>
        <v>#REF!</v>
      </c>
      <c r="J11" s="3" t="e">
        <f>COUNTIFS(#REF!, C11,#REF!, "Pass",#REF!, "Pass") + COUNTIFS(#REF!, C11,#REF!, "Pass",#REF!, "N/T") + COUNTIFS(#REF!, C11,#REF!, "Pass",#REF!, "N/A") + COUNTIFS(#REF!, C11,#REF!, "N/T",#REF!, "Pass") + COUNTIFS(#REF!, C11,#REF!, "N/A",#REF!, "Pass")</f>
        <v>#REF!</v>
      </c>
      <c r="K11" s="3" t="e">
        <f t="shared" si="5"/>
        <v>#REF!</v>
      </c>
      <c r="L11" s="3" t="e">
        <f>COUNTIFS(#REF!,C11,#REF!,"P1*",#REF!,"Fail") + COUNTIFS(#REF!,C11,#REF!,"P1*",#REF!,"Fail") - COUNTIFS(#REF!,C11,#REF!,"P1*",#REF!,"Fail",#REF!,"Fail")</f>
        <v>#REF!</v>
      </c>
      <c r="M11" s="3" t="e">
        <f>COUNTIFS(#REF!,C11,#REF!,"P2*",#REF!,"Fail") + COUNTIFS(#REF!,C11,#REF!,"P2*",#REF!,"Fail") - COUNTIFS(#REF!,C11,#REF!,"P2*",#REF!,"Fail",#REF!,"Fail")</f>
        <v>#REF!</v>
      </c>
      <c r="N11" s="3" t="e">
        <f>COUNTIFS(#REF!,C11,#REF!,"P3*",#REF!,"Fail") + COUNTIFS(#REF!,C11,#REF!,"P3*",#REF!,"Fail") - COUNTIFS(#REF!,C11,#REF!,"P3*",#REF!,"Fail",#REF!,"Fail")</f>
        <v>#REF!</v>
      </c>
      <c r="O11" s="3" t="e">
        <f>COUNTIFS(#REF!,C11,#REF!,"Blocked") + COUNTIFS(#REF!,C11,#REF!,"Blocked") - COUNTIFS(#REF!,C11,#REF!,"Blocked",#REF!,"Blocked")</f>
        <v>#REF!</v>
      </c>
      <c r="P11" s="3" t="e">
        <f>COUNTIFS(#REF!, C11,#REF!, "N/T",#REF!, "N/T")+COUNTIFS(#REF!, C11,#REF!, "N/T",#REF!, "N/A") +COUNTIFS(#REF!, C11,#REF!, "N/A",#REF!, "N/T")</f>
        <v>#REF!</v>
      </c>
      <c r="Q11" s="3" t="e">
        <f>COUNTIFS(#REF!, C11,#REF!, "N/A",#REF!, "N/A")</f>
        <v>#REF!</v>
      </c>
      <c r="R11" s="3" t="e">
        <f>COUNTIFS(#REF!,C11,#REF!,"&lt;&gt;")</f>
        <v>#REF!</v>
      </c>
      <c r="S11" s="1"/>
      <c r="T11" s="1"/>
    </row>
    <row r="12" spans="1:20" ht="13.2">
      <c r="A12" s="1"/>
      <c r="B12" s="2">
        <v>8</v>
      </c>
      <c r="C12" s="7" t="s">
        <v>46</v>
      </c>
      <c r="D12" s="50"/>
      <c r="E12" s="8">
        <f t="shared" si="0"/>
        <v>0</v>
      </c>
      <c r="F12" s="8">
        <f t="shared" si="1"/>
        <v>0</v>
      </c>
      <c r="G12" s="8">
        <f t="shared" si="2"/>
        <v>0</v>
      </c>
      <c r="H12" s="3" t="e">
        <f t="shared" si="3"/>
        <v>#REF!</v>
      </c>
      <c r="I12" s="3" t="e">
        <f t="shared" si="4"/>
        <v>#REF!</v>
      </c>
      <c r="J12" s="3" t="e">
        <f>COUNTIFS(#REF!, C12,#REF!, "Pass",#REF!, "Pass") + COUNTIFS(#REF!, C12,#REF!, "Pass",#REF!, "N/T") + COUNTIFS(#REF!, C12,#REF!, "Pass",#REF!, "N/A") + COUNTIFS(#REF!, C12,#REF!, "N/T",#REF!, "Pass") + COUNTIFS(#REF!, C12,#REF!, "N/A",#REF!, "Pass")</f>
        <v>#REF!</v>
      </c>
      <c r="K12" s="3" t="e">
        <f t="shared" si="5"/>
        <v>#REF!</v>
      </c>
      <c r="L12" s="3" t="e">
        <f>COUNTIFS(#REF!,C12,#REF!,"P1*",#REF!,"Fail") + COUNTIFS(#REF!,C12,#REF!,"P1*",#REF!,"Fail") - COUNTIFS(#REF!,C12,#REF!,"P1*",#REF!,"Fail",#REF!,"Fail")</f>
        <v>#REF!</v>
      </c>
      <c r="M12" s="3" t="e">
        <f>COUNTIFS(#REF!,C12,#REF!,"P2*",#REF!,"Fail") + COUNTIFS(#REF!,C12,#REF!,"P2*",#REF!,"Fail") - COUNTIFS(#REF!,C12,#REF!,"P2*",#REF!,"Fail",#REF!,"Fail")</f>
        <v>#REF!</v>
      </c>
      <c r="N12" s="3" t="e">
        <f>COUNTIFS(#REF!,C12,#REF!,"P3*",#REF!,"Fail") + COUNTIFS(#REF!,C12,#REF!,"P3*",#REF!,"Fail") - COUNTIFS(#REF!,C12,#REF!,"P3*",#REF!,"Fail",#REF!,"Fail")</f>
        <v>#REF!</v>
      </c>
      <c r="O12" s="3" t="e">
        <f>COUNTIFS(#REF!,C12,#REF!,"Blocked") + COUNTIFS(#REF!,C12,#REF!,"Blocked") - COUNTIFS(#REF!,C12,#REF!,"Blocked",#REF!,"Blocked")</f>
        <v>#REF!</v>
      </c>
      <c r="P12" s="3" t="e">
        <f>COUNTIFS(#REF!, C12,#REF!, "N/T",#REF!, "N/T")+COUNTIFS(#REF!, C12,#REF!, "N/T",#REF!, "N/A") +COUNTIFS(#REF!, C12,#REF!, "N/A",#REF!, "N/T")</f>
        <v>#REF!</v>
      </c>
      <c r="Q12" s="3" t="e">
        <f>COUNTIFS(#REF!, C12,#REF!, "N/A",#REF!, "N/A")</f>
        <v>#REF!</v>
      </c>
      <c r="R12" s="3" t="e">
        <f>COUNTIFS(#REF!,C12,#REF!,"&lt;&gt;")</f>
        <v>#REF!</v>
      </c>
      <c r="S12" s="1"/>
      <c r="T12" s="1"/>
    </row>
    <row r="13" spans="1:20" ht="13.2">
      <c r="A13" s="1"/>
      <c r="B13" s="2">
        <v>9</v>
      </c>
      <c r="C13" s="7" t="s">
        <v>47</v>
      </c>
      <c r="D13" s="50"/>
      <c r="E13" s="8">
        <f t="shared" si="0"/>
        <v>0</v>
      </c>
      <c r="F13" s="8">
        <f t="shared" si="1"/>
        <v>0</v>
      </c>
      <c r="G13" s="8">
        <f t="shared" si="2"/>
        <v>0</v>
      </c>
      <c r="H13" s="3" t="e">
        <f t="shared" si="3"/>
        <v>#REF!</v>
      </c>
      <c r="I13" s="3" t="e">
        <f t="shared" si="4"/>
        <v>#REF!</v>
      </c>
      <c r="J13" s="3" t="e">
        <f>COUNTIFS(#REF!, C13,#REF!, "Pass",#REF!, "Pass") + COUNTIFS(#REF!, C13,#REF!, "Pass",#REF!, "N/T") + COUNTIFS(#REF!, C13,#REF!, "Pass",#REF!, "N/A") + COUNTIFS(#REF!, C13,#REF!, "N/T",#REF!, "Pass") + COUNTIFS(#REF!, C13,#REF!, "N/A",#REF!, "Pass")</f>
        <v>#REF!</v>
      </c>
      <c r="K13" s="3" t="e">
        <f t="shared" si="5"/>
        <v>#REF!</v>
      </c>
      <c r="L13" s="3" t="e">
        <f>COUNTIFS(#REF!,C13,#REF!,"P1*",#REF!,"Fail") + COUNTIFS(#REF!,C13,#REF!,"P1*",#REF!,"Fail") - COUNTIFS(#REF!,C13,#REF!,"P1*",#REF!,"Fail",#REF!,"Fail")</f>
        <v>#REF!</v>
      </c>
      <c r="M13" s="3" t="e">
        <f>COUNTIFS(#REF!,C13,#REF!,"P2*",#REF!,"Fail") + COUNTIFS(#REF!,C13,#REF!,"P2*",#REF!,"Fail") - COUNTIFS(#REF!,C13,#REF!,"P2*",#REF!,"Fail",#REF!,"Fail")</f>
        <v>#REF!</v>
      </c>
      <c r="N13" s="3" t="e">
        <f>COUNTIFS(#REF!,C13,#REF!,"P3*",#REF!,"Fail") + COUNTIFS(#REF!,C13,#REF!,"P3*",#REF!,"Fail") - COUNTIFS(#REF!,C13,#REF!,"P3*",#REF!,"Fail",#REF!,"Fail")</f>
        <v>#REF!</v>
      </c>
      <c r="O13" s="3" t="e">
        <f>COUNTIFS(#REF!,C13,#REF!,"Blocked") + COUNTIFS(#REF!,C13,#REF!,"Blocked") - COUNTIFS(#REF!,C13,#REF!,"Blocked",#REF!,"Blocked")</f>
        <v>#REF!</v>
      </c>
      <c r="P13" s="3" t="e">
        <f>COUNTIFS(#REF!, C13,#REF!, "N/T",#REF!, "N/T")+COUNTIFS(#REF!, C13,#REF!, "N/T",#REF!, "N/A") +COUNTIFS(#REF!, C13,#REF!, "N/A",#REF!, "N/T")</f>
        <v>#REF!</v>
      </c>
      <c r="Q13" s="3" t="e">
        <f>COUNTIFS(#REF!, C13,#REF!, "N/A",#REF!, "N/A")</f>
        <v>#REF!</v>
      </c>
      <c r="R13" s="3" t="e">
        <f>COUNTIFS(#REF!,C13,#REF!,"&lt;&gt;")</f>
        <v>#REF!</v>
      </c>
      <c r="S13" s="1"/>
      <c r="T13" s="1"/>
    </row>
    <row r="14" spans="1:20" ht="13.2">
      <c r="A14" s="1"/>
      <c r="B14" s="2">
        <v>10</v>
      </c>
      <c r="C14" s="7" t="s">
        <v>48</v>
      </c>
      <c r="D14" s="50"/>
      <c r="E14" s="8">
        <f t="shared" si="0"/>
        <v>0</v>
      </c>
      <c r="F14" s="8">
        <f t="shared" si="1"/>
        <v>0</v>
      </c>
      <c r="G14" s="8">
        <f t="shared" si="2"/>
        <v>0</v>
      </c>
      <c r="H14" s="3" t="e">
        <f t="shared" si="3"/>
        <v>#REF!</v>
      </c>
      <c r="I14" s="3" t="e">
        <f t="shared" si="4"/>
        <v>#REF!</v>
      </c>
      <c r="J14" s="3" t="e">
        <f>COUNTIFS(#REF!, C14,#REF!, "Pass",#REF!, "Pass") + COUNTIFS(#REF!, C14,#REF!, "Pass",#REF!, "N/T") + COUNTIFS(#REF!, C14,#REF!, "Pass",#REF!, "N/A") + COUNTIFS(#REF!, C14,#REF!, "N/T",#REF!, "Pass") + COUNTIFS(#REF!, C14,#REF!, "N/A",#REF!, "Pass")</f>
        <v>#REF!</v>
      </c>
      <c r="K14" s="3" t="e">
        <f t="shared" si="5"/>
        <v>#REF!</v>
      </c>
      <c r="L14" s="3" t="e">
        <f>COUNTIFS(#REF!,C14,#REF!,"P1*",#REF!,"Fail") + COUNTIFS(#REF!,C14,#REF!,"P1*",#REF!,"Fail") - COUNTIFS(#REF!,C14,#REF!,"P1*",#REF!,"Fail",#REF!,"Fail")</f>
        <v>#REF!</v>
      </c>
      <c r="M14" s="3" t="e">
        <f>COUNTIFS(#REF!,C14,#REF!,"P2*",#REF!,"Fail") + COUNTIFS(#REF!,C14,#REF!,"P2*",#REF!,"Fail") - COUNTIFS(#REF!,C14,#REF!,"P2*",#REF!,"Fail",#REF!,"Fail")</f>
        <v>#REF!</v>
      </c>
      <c r="N14" s="3" t="e">
        <f>COUNTIFS(#REF!,C14,#REF!,"P3*",#REF!,"Fail") + COUNTIFS(#REF!,C14,#REF!,"P3*",#REF!,"Fail") - COUNTIFS(#REF!,C14,#REF!,"P3*",#REF!,"Fail",#REF!,"Fail")</f>
        <v>#REF!</v>
      </c>
      <c r="O14" s="3" t="e">
        <f>COUNTIFS(#REF!,C14,#REF!,"Blocked") + COUNTIFS(#REF!,C14,#REF!,"Blocked") - COUNTIFS(#REF!,C14,#REF!,"Blocked",#REF!,"Blocked")</f>
        <v>#REF!</v>
      </c>
      <c r="P14" s="3" t="e">
        <f>COUNTIFS(#REF!, C14,#REF!, "N/T",#REF!, "N/T")+COUNTIFS(#REF!, C14,#REF!, "N/T",#REF!, "N/A") +COUNTIFS(#REF!, C14,#REF!, "N/A",#REF!, "N/T")</f>
        <v>#REF!</v>
      </c>
      <c r="Q14" s="3" t="e">
        <f>COUNTIFS(#REF!, C14,#REF!, "N/A",#REF!, "N/A")</f>
        <v>#REF!</v>
      </c>
      <c r="R14" s="3" t="e">
        <f>COUNTIFS(#REF!,C14,#REF!,"&lt;&gt;")</f>
        <v>#REF!</v>
      </c>
      <c r="S14" s="1"/>
      <c r="T14" s="1"/>
    </row>
    <row r="15" spans="1:20" ht="13.2">
      <c r="A15" s="1"/>
      <c r="B15" s="2">
        <v>11</v>
      </c>
      <c r="C15" s="7" t="s">
        <v>49</v>
      </c>
      <c r="D15" s="50"/>
      <c r="E15" s="8">
        <f t="shared" si="0"/>
        <v>0</v>
      </c>
      <c r="F15" s="8">
        <f t="shared" si="1"/>
        <v>0</v>
      </c>
      <c r="G15" s="8">
        <f t="shared" si="2"/>
        <v>0</v>
      </c>
      <c r="H15" s="3" t="e">
        <f t="shared" si="3"/>
        <v>#REF!</v>
      </c>
      <c r="I15" s="3" t="e">
        <f t="shared" si="4"/>
        <v>#REF!</v>
      </c>
      <c r="J15" s="3" t="e">
        <f>COUNTIFS(#REF!, C15,#REF!, "Pass",#REF!, "Pass") + COUNTIFS(#REF!, C15,#REF!, "Pass",#REF!, "N/T") + COUNTIFS(#REF!, C15,#REF!, "Pass",#REF!, "N/A") + COUNTIFS(#REF!, C15,#REF!, "N/T",#REF!, "Pass") + COUNTIFS(#REF!, C15,#REF!, "N/A",#REF!, "Pass")</f>
        <v>#REF!</v>
      </c>
      <c r="K15" s="3" t="e">
        <f t="shared" si="5"/>
        <v>#REF!</v>
      </c>
      <c r="L15" s="3" t="e">
        <f>COUNTIFS(#REF!,C15,#REF!,"P1*",#REF!,"Fail") + COUNTIFS(#REF!,C15,#REF!,"P1*",#REF!,"Fail") - COUNTIFS(#REF!,C15,#REF!,"P1*",#REF!,"Fail",#REF!,"Fail")</f>
        <v>#REF!</v>
      </c>
      <c r="M15" s="3" t="e">
        <f>COUNTIFS(#REF!,C15,#REF!,"P2*",#REF!,"Fail") + COUNTIFS(#REF!,C15,#REF!,"P2*",#REF!,"Fail") - COUNTIFS(#REF!,C15,#REF!,"P2*",#REF!,"Fail",#REF!,"Fail")</f>
        <v>#REF!</v>
      </c>
      <c r="N15" s="3" t="e">
        <f>COUNTIFS(#REF!,C15,#REF!,"P3*",#REF!,"Fail") + COUNTIFS(#REF!,C15,#REF!,"P3*",#REF!,"Fail") - COUNTIFS(#REF!,C15,#REF!,"P3*",#REF!,"Fail",#REF!,"Fail")</f>
        <v>#REF!</v>
      </c>
      <c r="O15" s="3" t="e">
        <f>COUNTIFS(#REF!,C15,#REF!,"Blocked") + COUNTIFS(#REF!,C15,#REF!,"Blocked") - COUNTIFS(#REF!,C15,#REF!,"Blocked",#REF!,"Blocked")</f>
        <v>#REF!</v>
      </c>
      <c r="P15" s="3" t="e">
        <f>COUNTIFS(#REF!, C15,#REF!, "N/T",#REF!, "N/T")+COUNTIFS(#REF!, C15,#REF!, "N/T",#REF!, "N/A") +COUNTIFS(#REF!, C15,#REF!, "N/A",#REF!, "N/T")</f>
        <v>#REF!</v>
      </c>
      <c r="Q15" s="3" t="e">
        <f>COUNTIFS(#REF!, C15,#REF!, "N/A",#REF!, "N/A")</f>
        <v>#REF!</v>
      </c>
      <c r="R15" s="3" t="e">
        <f>COUNTIFS(#REF!,C15,#REF!,"&lt;&gt;")</f>
        <v>#REF!</v>
      </c>
      <c r="S15" s="1"/>
      <c r="T15" s="1"/>
    </row>
    <row r="16" spans="1:20" ht="13.2">
      <c r="A16" s="1"/>
      <c r="B16" s="2">
        <v>12</v>
      </c>
      <c r="C16" s="7" t="s">
        <v>50</v>
      </c>
      <c r="D16" s="50"/>
      <c r="E16" s="8">
        <f t="shared" si="0"/>
        <v>0</v>
      </c>
      <c r="F16" s="8">
        <f t="shared" si="1"/>
        <v>0</v>
      </c>
      <c r="G16" s="8">
        <f t="shared" si="2"/>
        <v>0</v>
      </c>
      <c r="H16" s="3" t="e">
        <f t="shared" si="3"/>
        <v>#REF!</v>
      </c>
      <c r="I16" s="3" t="e">
        <f t="shared" si="4"/>
        <v>#REF!</v>
      </c>
      <c r="J16" s="3" t="e">
        <f>COUNTIFS(#REF!, C16,#REF!, "Pass",#REF!, "Pass") + COUNTIFS(#REF!, C16,#REF!, "Pass",#REF!, "N/T") + COUNTIFS(#REF!, C16,#REF!, "Pass",#REF!, "N/A") + COUNTIFS(#REF!, C16,#REF!, "N/T",#REF!, "Pass") + COUNTIFS(#REF!, C16,#REF!, "N/A",#REF!, "Pass")</f>
        <v>#REF!</v>
      </c>
      <c r="K16" s="3" t="e">
        <f t="shared" si="5"/>
        <v>#REF!</v>
      </c>
      <c r="L16" s="3" t="e">
        <f>COUNTIFS(#REF!,C16,#REF!,"P1*",#REF!,"Fail") + COUNTIFS(#REF!,C16,#REF!,"P1*",#REF!,"Fail") - COUNTIFS(#REF!,C16,#REF!,"P1*",#REF!,"Fail",#REF!,"Fail")</f>
        <v>#REF!</v>
      </c>
      <c r="M16" s="3" t="e">
        <f>COUNTIFS(#REF!,C16,#REF!,"P2*",#REF!,"Fail") + COUNTIFS(#REF!,C16,#REF!,"P2*",#REF!,"Fail") - COUNTIFS(#REF!,C16,#REF!,"P2*",#REF!,"Fail",#REF!,"Fail")</f>
        <v>#REF!</v>
      </c>
      <c r="N16" s="3" t="e">
        <f>COUNTIFS(#REF!,C16,#REF!,"P3*",#REF!,"Fail") + COUNTIFS(#REF!,C16,#REF!,"P3*",#REF!,"Fail") - COUNTIFS(#REF!,C16,#REF!,"P3*",#REF!,"Fail",#REF!,"Fail")</f>
        <v>#REF!</v>
      </c>
      <c r="O16" s="3" t="e">
        <f>COUNTIFS(#REF!,C16,#REF!,"Blocked") + COUNTIFS(#REF!,C16,#REF!,"Blocked") - COUNTIFS(#REF!,C16,#REF!,"Blocked",#REF!,"Blocked")</f>
        <v>#REF!</v>
      </c>
      <c r="P16" s="3" t="e">
        <f>COUNTIFS(#REF!, C16,#REF!, "N/T",#REF!, "N/T")+COUNTIFS(#REF!, C16,#REF!, "N/T",#REF!, "N/A") +COUNTIFS(#REF!, C16,#REF!, "N/A",#REF!, "N/T")</f>
        <v>#REF!</v>
      </c>
      <c r="Q16" s="3" t="e">
        <f>COUNTIFS(#REF!, C16,#REF!, "N/A",#REF!, "N/A")</f>
        <v>#REF!</v>
      </c>
      <c r="R16" s="3" t="e">
        <f>COUNTIFS(#REF!,C16,#REF!,"&lt;&gt;")</f>
        <v>#REF!</v>
      </c>
      <c r="S16" s="1"/>
      <c r="T16" s="1"/>
    </row>
    <row r="17" spans="1:20" ht="13.2">
      <c r="A17" s="1"/>
      <c r="B17" s="9"/>
      <c r="C17" s="17" t="s">
        <v>33</v>
      </c>
      <c r="D17" s="10"/>
      <c r="E17" s="18">
        <f t="shared" ref="E17:F17" si="6">IFERROR(I17/H17,0)</f>
        <v>0</v>
      </c>
      <c r="F17" s="11">
        <f t="shared" si="6"/>
        <v>0</v>
      </c>
      <c r="G17" s="18">
        <f>IFERROR(I17/(R17-Q17),0)</f>
        <v>0</v>
      </c>
      <c r="H17" s="19" t="e">
        <f t="shared" ref="H17:R17" si="7">SUM(H5:H16)</f>
        <v>#REF!</v>
      </c>
      <c r="I17" s="19" t="e">
        <f t="shared" si="7"/>
        <v>#REF!</v>
      </c>
      <c r="J17" s="19" t="e">
        <f t="shared" si="7"/>
        <v>#REF!</v>
      </c>
      <c r="K17" s="12" t="e">
        <f t="shared" si="7"/>
        <v>#REF!</v>
      </c>
      <c r="L17" s="13" t="e">
        <f t="shared" si="7"/>
        <v>#REF!</v>
      </c>
      <c r="M17" s="13" t="e">
        <f t="shared" si="7"/>
        <v>#REF!</v>
      </c>
      <c r="N17" s="13" t="e">
        <f t="shared" si="7"/>
        <v>#REF!</v>
      </c>
      <c r="O17" s="14" t="e">
        <f t="shared" si="7"/>
        <v>#REF!</v>
      </c>
      <c r="P17" s="14" t="e">
        <f t="shared" si="7"/>
        <v>#REF!</v>
      </c>
      <c r="Q17" s="14" t="e">
        <f t="shared" si="7"/>
        <v>#REF!</v>
      </c>
      <c r="R17" s="20" t="e">
        <f t="shared" si="7"/>
        <v>#REF!</v>
      </c>
      <c r="S17" s="1"/>
      <c r="T17" s="1"/>
    </row>
    <row r="18" spans="1:20" ht="22.8">
      <c r="A18" s="1"/>
      <c r="B18" s="15"/>
      <c r="C18" s="16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s="22" customFormat="1" ht="13.2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1"/>
      <c r="R19" s="23"/>
      <c r="S19" s="23"/>
      <c r="T19" s="23"/>
    </row>
    <row r="20" spans="1:20" s="22" customFormat="1" ht="13.2">
      <c r="A20" s="21"/>
      <c r="B20" s="25"/>
      <c r="C20" s="24"/>
      <c r="D20" s="25"/>
      <c r="E20" s="25"/>
      <c r="F20" s="25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 s="22" customFormat="1" ht="13.2">
      <c r="A21" s="21"/>
      <c r="B21" s="26"/>
      <c r="C21" s="27"/>
      <c r="D21" s="28"/>
      <c r="E21" s="29"/>
      <c r="F21" s="27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 s="22" customFormat="1" ht="13.2">
      <c r="A22" s="21"/>
      <c r="B22" s="26"/>
      <c r="C22" s="27"/>
      <c r="D22" s="28"/>
      <c r="E22" s="29"/>
      <c r="F22" s="2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 s="22" customFormat="1" ht="13.2">
      <c r="A23" s="21"/>
      <c r="B23" s="26"/>
      <c r="C23" s="27"/>
      <c r="D23" s="28"/>
      <c r="E23" s="29"/>
      <c r="F23" s="27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 s="22" customFormat="1" ht="13.2">
      <c r="A24" s="21"/>
      <c r="B24" s="26"/>
      <c r="C24" s="27"/>
      <c r="D24" s="28"/>
      <c r="E24" s="29"/>
      <c r="F24" s="27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s="22" customFormat="1" ht="13.2">
      <c r="A25" s="21"/>
      <c r="B25" s="26"/>
      <c r="C25" s="27"/>
      <c r="D25" s="28"/>
      <c r="E25" s="29"/>
      <c r="F25" s="27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</row>
    <row r="26" spans="1:20" s="22" customFormat="1" ht="13.2">
      <c r="A26" s="21"/>
      <c r="B26" s="26"/>
      <c r="C26" s="27"/>
      <c r="D26" s="28"/>
      <c r="E26" s="29"/>
      <c r="F26" s="27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</row>
    <row r="27" spans="1:20" s="22" customFormat="1" ht="13.2">
      <c r="A27" s="21"/>
      <c r="B27" s="26"/>
      <c r="C27" s="27"/>
      <c r="D27" s="28"/>
      <c r="E27" s="29"/>
      <c r="F27" s="27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  <row r="28" spans="1:20" s="22" customFormat="1" ht="13.2">
      <c r="A28" s="21"/>
      <c r="B28" s="26"/>
      <c r="C28" s="27"/>
      <c r="D28" s="28"/>
      <c r="E28" s="29"/>
      <c r="F28" s="27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</row>
    <row r="29" spans="1:20" s="22" customFormat="1" ht="13.2">
      <c r="A29" s="21"/>
      <c r="B29" s="26"/>
      <c r="C29" s="27"/>
      <c r="D29" s="28"/>
      <c r="E29" s="29"/>
      <c r="F29" s="27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</row>
    <row r="30" spans="1:20" s="22" customFormat="1" ht="13.2">
      <c r="A30" s="21"/>
      <c r="B30" s="26"/>
      <c r="C30" s="27"/>
      <c r="D30" s="28"/>
      <c r="E30" s="29"/>
      <c r="F30" s="27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  <row r="31" spans="1:20" s="22" customFormat="1" ht="13.2">
      <c r="A31" s="21"/>
      <c r="B31" s="26"/>
      <c r="C31" s="27"/>
      <c r="D31" s="28"/>
      <c r="E31" s="29"/>
      <c r="F31" s="27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</row>
    <row r="32" spans="1:20" s="22" customFormat="1" ht="13.2">
      <c r="A32" s="21"/>
      <c r="B32" s="26"/>
      <c r="C32" s="27"/>
      <c r="D32" s="28"/>
      <c r="E32" s="29"/>
      <c r="F32" s="27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</row>
    <row r="33" spans="1:20" s="22" customFormat="1" ht="13.2">
      <c r="A33" s="21"/>
      <c r="B33" s="26"/>
      <c r="C33" s="27"/>
      <c r="D33" s="28"/>
      <c r="E33" s="29"/>
      <c r="F33" s="27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</row>
    <row r="34" spans="1:20" s="22" customFormat="1" ht="13.2">
      <c r="A34" s="21"/>
      <c r="B34" s="26"/>
      <c r="C34" s="27"/>
      <c r="D34" s="28"/>
      <c r="E34" s="29"/>
      <c r="F34" s="27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</row>
    <row r="35" spans="1:20" s="22" customFormat="1" ht="13.2">
      <c r="A35" s="21"/>
      <c r="B35" s="26"/>
      <c r="C35" s="27"/>
      <c r="D35" s="28"/>
      <c r="E35" s="29"/>
      <c r="F35" s="27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</row>
    <row r="36" spans="1:20" s="22" customFormat="1" ht="13.2">
      <c r="A36" s="21"/>
      <c r="B36" s="26"/>
      <c r="C36" s="21"/>
      <c r="D36" s="30"/>
      <c r="E36" s="29"/>
      <c r="F36" s="27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</row>
    <row r="37" spans="1:20" s="22" customFormat="1" ht="13.2">
      <c r="A37" s="21"/>
      <c r="B37" s="26"/>
      <c r="C37" s="21"/>
      <c r="D37" s="30"/>
      <c r="E37" s="29"/>
      <c r="F37" s="27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</row>
    <row r="38" spans="1:20" s="22" customFormat="1" ht="13.2">
      <c r="A38" s="21"/>
      <c r="B38" s="26"/>
      <c r="C38" s="21"/>
      <c r="D38" s="30"/>
      <c r="E38" s="29"/>
      <c r="F38" s="27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</row>
    <row r="39" spans="1:20" s="22" customFormat="1" ht="13.2">
      <c r="A39" s="21"/>
      <c r="B39" s="26"/>
      <c r="C39" s="21"/>
      <c r="D39" s="30"/>
      <c r="E39" s="29"/>
      <c r="F39" s="27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</row>
    <row r="40" spans="1:20" s="22" customFormat="1" ht="13.2">
      <c r="A40" s="21"/>
      <c r="B40" s="26"/>
      <c r="C40" s="21"/>
      <c r="D40" s="30"/>
      <c r="E40" s="29"/>
      <c r="F40" s="27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</row>
    <row r="41" spans="1:20" s="22" customFormat="1" ht="13.2">
      <c r="A41" s="21"/>
      <c r="B41" s="26"/>
      <c r="C41" s="21"/>
      <c r="D41" s="30"/>
      <c r="E41" s="29"/>
      <c r="F41" s="27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</row>
    <row r="42" spans="1:20" s="22" customFormat="1" ht="13.2">
      <c r="A42" s="21"/>
      <c r="B42" s="26"/>
      <c r="C42" s="21"/>
      <c r="D42" s="30"/>
      <c r="E42" s="29"/>
      <c r="F42" s="27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</row>
    <row r="43" spans="1:20" s="22" customFormat="1" ht="13.2">
      <c r="A43" s="21"/>
      <c r="B43" s="26"/>
      <c r="C43" s="21"/>
      <c r="D43" s="30"/>
      <c r="E43" s="29"/>
      <c r="F43" s="27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</row>
    <row r="44" spans="1:20" s="22" customFormat="1" ht="13.2">
      <c r="A44" s="21"/>
      <c r="B44" s="26"/>
      <c r="C44" s="21"/>
      <c r="D44" s="30"/>
      <c r="E44" s="29"/>
      <c r="F44" s="27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</row>
    <row r="45" spans="1:20" s="22" customFormat="1" ht="13.2">
      <c r="A45" s="21"/>
      <c r="B45" s="26"/>
      <c r="C45" s="21"/>
      <c r="D45" s="30"/>
      <c r="E45" s="29"/>
      <c r="F45" s="27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</row>
    <row r="46" spans="1:20" s="22" customFormat="1" ht="13.2">
      <c r="A46" s="21"/>
      <c r="B46" s="26"/>
      <c r="C46" s="21"/>
      <c r="D46" s="30"/>
      <c r="E46" s="29"/>
      <c r="F46" s="27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</row>
    <row r="47" spans="1:20" s="22" customFormat="1" ht="13.2">
      <c r="A47" s="21"/>
      <c r="B47" s="26"/>
      <c r="C47" s="21"/>
      <c r="D47" s="30"/>
      <c r="E47" s="29"/>
      <c r="F47" s="27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</row>
    <row r="48" spans="1:20" s="22" customFormat="1" ht="13.2">
      <c r="A48" s="21"/>
      <c r="B48" s="26"/>
      <c r="C48" s="21"/>
      <c r="D48" s="30"/>
      <c r="E48" s="29"/>
      <c r="F48" s="27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</row>
    <row r="49" spans="1:20" s="22" customFormat="1" ht="13.2">
      <c r="A49" s="21"/>
      <c r="B49" s="26"/>
      <c r="C49" s="21"/>
      <c r="D49" s="30"/>
      <c r="E49" s="29"/>
      <c r="F49" s="27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</row>
    <row r="50" spans="1:20" s="22" customFormat="1" ht="13.2">
      <c r="A50" s="21"/>
      <c r="B50" s="26"/>
      <c r="C50" s="21"/>
      <c r="D50" s="30"/>
      <c r="E50" s="29"/>
      <c r="F50" s="27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</row>
    <row r="51" spans="1:20" s="22" customFormat="1" ht="13.2">
      <c r="A51" s="21"/>
      <c r="B51" s="26"/>
      <c r="C51" s="21"/>
      <c r="D51" s="30"/>
      <c r="E51" s="29"/>
      <c r="F51" s="27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</row>
    <row r="52" spans="1:20" s="22" customFormat="1" ht="13.2">
      <c r="A52" s="21"/>
      <c r="B52" s="26"/>
      <c r="C52" s="21"/>
      <c r="D52" s="30"/>
      <c r="E52" s="29"/>
      <c r="F52" s="27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</row>
    <row r="53" spans="1:20" s="22" customFormat="1" ht="13.2">
      <c r="A53" s="21"/>
      <c r="B53" s="26"/>
      <c r="C53" s="21"/>
      <c r="D53" s="30"/>
      <c r="E53" s="29"/>
      <c r="F53" s="27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</row>
    <row r="54" spans="1:20" s="22" customFormat="1" ht="13.2">
      <c r="A54" s="21"/>
      <c r="B54" s="26"/>
      <c r="C54" s="21"/>
      <c r="D54" s="30"/>
      <c r="E54" s="29"/>
      <c r="F54" s="27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</row>
    <row r="55" spans="1:20" s="22" customFormat="1" ht="13.2">
      <c r="A55" s="21"/>
      <c r="B55" s="26"/>
      <c r="C55" s="21"/>
      <c r="D55" s="30"/>
      <c r="E55" s="29"/>
      <c r="F55" s="27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</row>
    <row r="56" spans="1:20" s="22" customFormat="1" ht="13.2">
      <c r="A56" s="21"/>
      <c r="B56" s="26"/>
      <c r="C56" s="21"/>
      <c r="D56" s="30"/>
      <c r="E56" s="29"/>
      <c r="F56" s="27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</row>
    <row r="57" spans="1:20" s="22" customFormat="1" ht="13.2">
      <c r="A57" s="21"/>
      <c r="B57" s="26"/>
      <c r="C57" s="21"/>
      <c r="D57" s="30"/>
      <c r="E57" s="29"/>
      <c r="F57" s="27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</row>
    <row r="58" spans="1:20" s="22" customFormat="1" ht="13.2">
      <c r="A58" s="21"/>
      <c r="B58" s="26"/>
      <c r="C58" s="21"/>
      <c r="D58" s="30"/>
      <c r="E58" s="29"/>
      <c r="F58" s="27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</row>
    <row r="59" spans="1:20" s="22" customFormat="1" ht="13.2">
      <c r="A59" s="21"/>
      <c r="B59" s="26"/>
      <c r="C59" s="21"/>
      <c r="D59" s="30"/>
      <c r="E59" s="29"/>
      <c r="F59" s="27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</row>
    <row r="60" spans="1:20" s="22" customFormat="1" ht="13.2">
      <c r="A60" s="21"/>
      <c r="B60" s="26"/>
      <c r="C60" s="21"/>
      <c r="D60" s="30"/>
      <c r="E60" s="29"/>
      <c r="F60" s="27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</row>
    <row r="61" spans="1:20" s="22" customFormat="1" ht="13.2">
      <c r="A61" s="21"/>
      <c r="B61" s="26"/>
      <c r="C61" s="21"/>
      <c r="D61" s="30"/>
      <c r="E61" s="29"/>
      <c r="F61" s="27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</row>
    <row r="62" spans="1:20" s="22" customFormat="1" ht="13.2">
      <c r="A62" s="21"/>
      <c r="B62" s="26"/>
      <c r="C62" s="21"/>
      <c r="D62" s="30"/>
      <c r="E62" s="29"/>
      <c r="F62" s="27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</row>
    <row r="63" spans="1:20" s="22" customFormat="1" ht="13.2">
      <c r="A63" s="21"/>
      <c r="B63" s="26"/>
      <c r="C63" s="21"/>
      <c r="D63" s="30"/>
      <c r="E63" s="29"/>
      <c r="F63" s="27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</row>
    <row r="64" spans="1:20" s="22" customFormat="1" ht="13.2">
      <c r="A64" s="21"/>
      <c r="B64" s="26"/>
      <c r="C64" s="21"/>
      <c r="D64" s="30"/>
      <c r="E64" s="29"/>
      <c r="F64" s="27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</row>
    <row r="65" spans="1:20" s="22" customFormat="1" ht="13.2">
      <c r="A65" s="21"/>
      <c r="B65" s="26"/>
      <c r="C65" s="21"/>
      <c r="D65" s="30"/>
      <c r="E65" s="29"/>
      <c r="F65" s="27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</row>
    <row r="66" spans="1:20" s="22" customFormat="1" ht="13.2">
      <c r="A66" s="21"/>
      <c r="B66" s="26"/>
      <c r="C66" s="21"/>
      <c r="D66" s="30"/>
      <c r="E66" s="29"/>
      <c r="F66" s="27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</row>
    <row r="67" spans="1:20" s="22" customFormat="1" ht="13.2">
      <c r="A67" s="21"/>
      <c r="B67" s="31"/>
      <c r="C67" s="21"/>
      <c r="D67" s="30"/>
      <c r="E67" s="29"/>
      <c r="F67" s="27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</row>
    <row r="68" spans="1:20" s="22" customFormat="1" ht="13.2">
      <c r="A68" s="21"/>
      <c r="B68" s="31"/>
      <c r="C68" s="21"/>
      <c r="D68" s="30"/>
      <c r="E68" s="29"/>
      <c r="F68" s="27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</row>
    <row r="69" spans="1:20" s="22" customFormat="1" ht="13.2">
      <c r="A69" s="21"/>
      <c r="B69" s="32"/>
      <c r="C69" s="33"/>
      <c r="D69" s="30"/>
      <c r="E69" s="29"/>
      <c r="F69" s="34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</row>
    <row r="70" spans="1:20" s="22" customFormat="1" ht="13.2">
      <c r="A70" s="21"/>
      <c r="B70" s="26"/>
      <c r="C70" s="21"/>
      <c r="D70" s="30"/>
      <c r="E70" s="29"/>
      <c r="F70" s="27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</row>
    <row r="71" spans="1:20" s="22" customFormat="1" ht="13.2">
      <c r="A71" s="21"/>
      <c r="B71" s="26"/>
      <c r="C71" s="21"/>
      <c r="D71" s="30"/>
      <c r="E71" s="29"/>
      <c r="F71" s="27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</row>
    <row r="72" spans="1:20" s="22" customFormat="1" ht="13.2">
      <c r="A72" s="33"/>
      <c r="B72" s="26"/>
      <c r="C72" s="21"/>
      <c r="D72" s="30"/>
      <c r="E72" s="29"/>
      <c r="F72" s="27"/>
      <c r="G72" s="21"/>
      <c r="H72" s="21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</row>
    <row r="73" spans="1:20" s="22" customFormat="1" ht="13.2">
      <c r="A73" s="21"/>
      <c r="B73" s="26"/>
      <c r="C73" s="21"/>
      <c r="D73" s="30"/>
      <c r="E73" s="29"/>
      <c r="F73" s="27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</row>
    <row r="74" spans="1:20" s="22" customFormat="1" ht="13.2">
      <c r="A74" s="21"/>
      <c r="B74" s="26"/>
      <c r="C74" s="21"/>
      <c r="D74" s="30"/>
      <c r="E74" s="29"/>
      <c r="F74" s="27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</row>
    <row r="75" spans="1:20" s="22" customFormat="1" ht="13.2">
      <c r="A75" s="21"/>
      <c r="B75" s="26"/>
      <c r="C75" s="21"/>
      <c r="D75" s="30"/>
      <c r="E75" s="29"/>
      <c r="F75" s="27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</row>
    <row r="76" spans="1:20" s="22" customFormat="1" ht="13.2">
      <c r="A76" s="21"/>
      <c r="B76" s="26"/>
      <c r="C76" s="21"/>
      <c r="D76" s="30"/>
      <c r="E76" s="29"/>
      <c r="F76" s="27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</row>
    <row r="77" spans="1:20" s="22" customFormat="1" ht="13.2">
      <c r="A77" s="21"/>
      <c r="B77" s="26"/>
      <c r="C77" s="21"/>
      <c r="D77" s="30"/>
      <c r="E77" s="29"/>
      <c r="F77" s="27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</row>
    <row r="78" spans="1:20" s="22" customFormat="1" ht="13.2">
      <c r="A78" s="21"/>
      <c r="B78" s="26"/>
      <c r="C78" s="21"/>
      <c r="D78" s="30"/>
      <c r="E78" s="29"/>
      <c r="F78" s="27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</row>
    <row r="79" spans="1:20" s="22" customFormat="1" ht="13.2">
      <c r="A79" s="21"/>
      <c r="B79" s="26"/>
      <c r="C79" s="21"/>
      <c r="D79" s="30"/>
      <c r="E79" s="29"/>
      <c r="F79" s="27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</row>
    <row r="80" spans="1:20" s="22" customFormat="1" ht="13.2">
      <c r="A80" s="21"/>
      <c r="B80" s="26"/>
      <c r="C80" s="21"/>
      <c r="D80" s="30"/>
      <c r="E80" s="29"/>
      <c r="F80" s="27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</row>
    <row r="81" spans="1:20" s="22" customFormat="1" ht="13.2">
      <c r="A81" s="21"/>
      <c r="B81" s="26"/>
      <c r="C81" s="21"/>
      <c r="D81" s="30"/>
      <c r="E81" s="29"/>
      <c r="F81" s="27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</row>
    <row r="82" spans="1:20" s="22" customFormat="1" ht="13.2">
      <c r="A82" s="21"/>
      <c r="B82" s="26"/>
      <c r="C82" s="21"/>
      <c r="D82" s="30"/>
      <c r="E82" s="29"/>
      <c r="F82" s="27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</row>
    <row r="83" spans="1:20" s="22" customFormat="1" ht="13.2">
      <c r="A83" s="21"/>
      <c r="B83" s="31"/>
      <c r="C83" s="21"/>
      <c r="D83" s="30"/>
      <c r="E83" s="29"/>
      <c r="F83" s="27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</row>
    <row r="84" spans="1:20" s="22" customFormat="1" ht="13.2">
      <c r="A84" s="21"/>
      <c r="B84" s="26"/>
      <c r="C84" s="21"/>
      <c r="D84" s="30"/>
      <c r="E84" s="29"/>
      <c r="F84" s="27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</row>
    <row r="85" spans="1:20" s="22" customFormat="1" ht="13.2">
      <c r="A85" s="21"/>
      <c r="B85" s="26"/>
      <c r="C85" s="21"/>
      <c r="D85" s="30"/>
      <c r="E85" s="29"/>
      <c r="F85" s="27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</row>
    <row r="86" spans="1:20" s="22" customFormat="1" ht="13.2">
      <c r="A86" s="21"/>
      <c r="B86" s="26"/>
      <c r="C86" s="21"/>
      <c r="D86" s="30"/>
      <c r="E86" s="29"/>
      <c r="F86" s="27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</row>
    <row r="87" spans="1:20" s="22" customFormat="1" ht="13.2">
      <c r="A87" s="21"/>
      <c r="B87" s="26"/>
      <c r="C87" s="21"/>
      <c r="D87" s="30"/>
      <c r="E87" s="29"/>
      <c r="F87" s="27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</row>
    <row r="88" spans="1:20" s="22" customFormat="1" ht="13.2">
      <c r="A88" s="21"/>
      <c r="B88" s="26"/>
      <c r="C88" s="21"/>
      <c r="D88" s="30"/>
      <c r="E88" s="29"/>
      <c r="F88" s="27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</row>
    <row r="89" spans="1:20" s="22" customFormat="1" ht="13.2">
      <c r="A89" s="21"/>
      <c r="B89" s="26"/>
      <c r="C89" s="21"/>
      <c r="D89" s="30"/>
      <c r="E89" s="29"/>
      <c r="F89" s="27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</row>
    <row r="90" spans="1:20" s="22" customFormat="1" ht="13.2">
      <c r="A90" s="21"/>
      <c r="B90" s="26"/>
      <c r="C90" s="21"/>
      <c r="D90" s="30"/>
      <c r="E90" s="29"/>
      <c r="F90" s="27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</row>
    <row r="91" spans="1:20" s="22" customFormat="1" ht="13.2">
      <c r="A91" s="21"/>
      <c r="B91" s="26"/>
      <c r="C91" s="21"/>
      <c r="D91" s="30"/>
      <c r="E91" s="29"/>
      <c r="F91" s="27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</row>
    <row r="92" spans="1:20" s="22" customFormat="1" ht="13.2">
      <c r="A92" s="21"/>
      <c r="B92" s="26"/>
      <c r="C92" s="21"/>
      <c r="D92" s="30"/>
      <c r="E92" s="29"/>
      <c r="F92" s="27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</row>
    <row r="93" spans="1:20" s="22" customFormat="1" ht="13.2">
      <c r="A93" s="21"/>
      <c r="B93" s="26"/>
      <c r="C93" s="21"/>
      <c r="D93" s="30"/>
      <c r="E93" s="29"/>
      <c r="F93" s="27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</row>
    <row r="94" spans="1:20" s="22" customFormat="1" ht="13.2">
      <c r="A94" s="21"/>
      <c r="B94" s="26"/>
      <c r="C94" s="21"/>
      <c r="D94" s="30"/>
      <c r="E94" s="29"/>
      <c r="F94" s="27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</row>
    <row r="95" spans="1:20" s="22" customFormat="1" ht="13.2">
      <c r="A95" s="21"/>
      <c r="B95" s="26"/>
      <c r="C95" s="21"/>
      <c r="D95" s="30"/>
      <c r="E95" s="29"/>
      <c r="F95" s="27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</row>
    <row r="96" spans="1:20" s="22" customFormat="1" ht="13.2">
      <c r="A96" s="21"/>
      <c r="B96" s="26"/>
      <c r="C96" s="21"/>
      <c r="D96" s="30"/>
      <c r="E96" s="29"/>
      <c r="F96" s="27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</row>
    <row r="97" spans="1:20" s="22" customFormat="1" ht="13.2">
      <c r="A97" s="21"/>
      <c r="B97" s="26"/>
      <c r="C97" s="21"/>
      <c r="D97" s="30"/>
      <c r="E97" s="29"/>
      <c r="F97" s="27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</row>
    <row r="98" spans="1:20" s="22" customFormat="1" ht="13.2">
      <c r="A98" s="21"/>
      <c r="B98" s="26"/>
      <c r="C98" s="21"/>
      <c r="D98" s="30"/>
      <c r="E98" s="29"/>
      <c r="F98" s="27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</row>
    <row r="99" spans="1:20" s="22" customFormat="1" ht="13.2">
      <c r="A99" s="21"/>
      <c r="B99" s="26"/>
      <c r="C99" s="21"/>
      <c r="D99" s="30"/>
      <c r="E99" s="29"/>
      <c r="F99" s="27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</row>
    <row r="100" spans="1:20" s="22" customFormat="1" ht="13.2">
      <c r="A100" s="21"/>
      <c r="B100" s="26"/>
      <c r="C100" s="21"/>
      <c r="D100" s="30"/>
      <c r="E100" s="29"/>
      <c r="F100" s="27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</row>
    <row r="101" spans="1:20" s="22" customFormat="1" ht="13.2">
      <c r="A101" s="21"/>
      <c r="B101" s="26"/>
      <c r="C101" s="21"/>
      <c r="D101" s="30"/>
      <c r="E101" s="29"/>
      <c r="F101" s="27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</row>
    <row r="102" spans="1:20" s="22" customFormat="1" ht="13.2">
      <c r="A102" s="21"/>
      <c r="B102" s="26"/>
      <c r="C102" s="21"/>
      <c r="D102" s="30"/>
      <c r="E102" s="29"/>
      <c r="F102" s="27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</row>
    <row r="103" spans="1:20" s="22" customFormat="1" ht="13.2">
      <c r="A103" s="21"/>
      <c r="B103" s="26"/>
      <c r="C103" s="21"/>
      <c r="D103" s="30"/>
      <c r="E103" s="29"/>
      <c r="F103" s="27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</row>
    <row r="104" spans="1:20" s="22" customFormat="1" ht="13.2">
      <c r="A104" s="21"/>
      <c r="B104" s="26"/>
      <c r="C104" s="21"/>
      <c r="D104" s="30"/>
      <c r="E104" s="29"/>
      <c r="F104" s="27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</row>
    <row r="105" spans="1:20" s="22" customFormat="1" ht="13.2">
      <c r="A105" s="21"/>
      <c r="B105" s="26"/>
      <c r="C105" s="21"/>
      <c r="D105" s="30"/>
      <c r="E105" s="29"/>
      <c r="F105" s="27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</row>
    <row r="106" spans="1:20" s="22" customFormat="1" ht="13.2">
      <c r="A106" s="21"/>
      <c r="B106" s="26"/>
      <c r="C106" s="21"/>
      <c r="D106" s="30"/>
      <c r="E106" s="29"/>
      <c r="F106" s="27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</row>
    <row r="107" spans="1:20" s="22" customFormat="1" ht="13.2">
      <c r="A107" s="21"/>
      <c r="B107" s="26"/>
      <c r="C107" s="21"/>
      <c r="D107" s="30"/>
      <c r="E107" s="29"/>
      <c r="F107" s="27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</row>
    <row r="108" spans="1:20" s="22" customFormat="1" ht="13.2">
      <c r="A108" s="21"/>
      <c r="B108" s="31"/>
      <c r="C108" s="21"/>
      <c r="D108" s="30"/>
      <c r="E108" s="29"/>
      <c r="F108" s="27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</row>
    <row r="109" spans="1:20" s="22" customFormat="1" ht="13.2">
      <c r="A109" s="21"/>
      <c r="B109" s="31"/>
      <c r="C109" s="21"/>
      <c r="D109" s="30"/>
      <c r="E109" s="29"/>
      <c r="F109" s="27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</row>
    <row r="110" spans="1:20" s="22" customFormat="1" ht="13.2">
      <c r="A110" s="21"/>
      <c r="B110" s="31"/>
      <c r="C110" s="21"/>
      <c r="D110" s="30"/>
      <c r="E110" s="29"/>
      <c r="F110" s="27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</row>
    <row r="111" spans="1:20" s="22" customFormat="1" ht="13.2">
      <c r="A111" s="21"/>
      <c r="B111" s="31"/>
      <c r="C111" s="21"/>
      <c r="D111" s="30"/>
      <c r="E111" s="29"/>
      <c r="F111" s="27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</row>
    <row r="112" spans="1:20" s="22" customFormat="1" ht="13.2">
      <c r="A112" s="21"/>
      <c r="B112" s="31"/>
      <c r="C112" s="21"/>
      <c r="D112" s="30"/>
      <c r="E112" s="29"/>
      <c r="F112" s="27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</row>
    <row r="113" spans="1:20" s="22" customFormat="1" ht="13.2">
      <c r="A113" s="21"/>
      <c r="B113" s="31"/>
      <c r="C113" s="21"/>
      <c r="D113" s="30"/>
      <c r="E113" s="29"/>
      <c r="F113" s="27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</row>
    <row r="114" spans="1:20" s="22" customFormat="1" ht="13.2">
      <c r="A114" s="21"/>
      <c r="B114" s="26"/>
      <c r="C114" s="21"/>
      <c r="D114" s="30"/>
      <c r="E114" s="29"/>
      <c r="F114" s="27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</row>
    <row r="115" spans="1:20" s="22" customFormat="1" ht="13.2">
      <c r="A115" s="21"/>
      <c r="B115" s="26"/>
      <c r="C115" s="21"/>
      <c r="D115" s="30"/>
      <c r="E115" s="29"/>
      <c r="F115" s="27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</row>
    <row r="116" spans="1:20" s="22" customFormat="1" ht="13.2">
      <c r="A116" s="21"/>
      <c r="B116" s="26"/>
      <c r="C116" s="21"/>
      <c r="D116" s="30"/>
      <c r="E116" s="29"/>
      <c r="F116" s="27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</row>
    <row r="117" spans="1:20" s="22" customFormat="1" ht="13.2">
      <c r="A117" s="21"/>
      <c r="B117" s="26"/>
      <c r="C117" s="21"/>
      <c r="D117" s="30"/>
      <c r="E117" s="29"/>
      <c r="F117" s="27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</row>
    <row r="118" spans="1:20" s="22" customFormat="1" ht="13.2">
      <c r="A118" s="21"/>
      <c r="B118" s="26"/>
      <c r="C118" s="21"/>
      <c r="D118" s="30"/>
      <c r="E118" s="29"/>
      <c r="F118" s="27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</row>
    <row r="119" spans="1:20" s="22" customFormat="1" ht="13.2">
      <c r="A119" s="21"/>
      <c r="B119" s="26"/>
      <c r="C119" s="21"/>
      <c r="D119" s="30"/>
      <c r="E119" s="29"/>
      <c r="F119" s="27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</row>
    <row r="120" spans="1:20" s="22" customFormat="1" ht="13.2">
      <c r="A120" s="21"/>
      <c r="B120" s="26"/>
      <c r="C120" s="21"/>
      <c r="D120" s="30"/>
      <c r="E120" s="29"/>
      <c r="F120" s="27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</row>
    <row r="121" spans="1:20" s="22" customFormat="1" ht="13.2">
      <c r="A121" s="21"/>
      <c r="B121" s="35"/>
      <c r="C121" s="36"/>
      <c r="D121" s="37"/>
      <c r="E121" s="29"/>
      <c r="F121" s="38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</row>
    <row r="122" spans="1:20" s="22" customFormat="1" ht="13.2">
      <c r="A122" s="21"/>
      <c r="B122" s="35"/>
      <c r="C122" s="36"/>
      <c r="D122" s="37"/>
      <c r="E122" s="29"/>
      <c r="F122" s="38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</row>
    <row r="123" spans="1:20" s="22" customFormat="1" ht="13.2">
      <c r="A123" s="21"/>
      <c r="B123" s="35"/>
      <c r="C123" s="36"/>
      <c r="D123" s="37"/>
      <c r="E123" s="29"/>
      <c r="F123" s="38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</row>
    <row r="124" spans="1:20" s="22" customFormat="1" ht="13.2">
      <c r="A124" s="21"/>
      <c r="B124" s="26"/>
      <c r="C124" s="21"/>
      <c r="D124" s="37"/>
      <c r="E124" s="29"/>
      <c r="F124" s="27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</row>
    <row r="125" spans="1:20" s="22" customFormat="1" ht="13.2">
      <c r="A125" s="21"/>
      <c r="B125" s="26"/>
      <c r="C125" s="21"/>
      <c r="D125" s="37"/>
      <c r="E125" s="29"/>
      <c r="F125" s="27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</row>
    <row r="126" spans="1:20" s="22" customFormat="1" ht="13.2">
      <c r="A126" s="21"/>
      <c r="B126" s="26"/>
      <c r="C126" s="21"/>
      <c r="D126" s="37"/>
      <c r="E126" s="29"/>
      <c r="F126" s="27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</row>
    <row r="127" spans="1:20" s="22" customFormat="1" ht="13.2">
      <c r="A127" s="21"/>
      <c r="B127" s="26"/>
      <c r="C127" s="21"/>
      <c r="D127" s="37"/>
      <c r="E127" s="29"/>
      <c r="F127" s="27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</row>
    <row r="128" spans="1:20" s="22" customFormat="1" ht="13.2">
      <c r="A128" s="21"/>
      <c r="B128" s="35"/>
      <c r="C128" s="36"/>
      <c r="D128" s="37"/>
      <c r="E128" s="29"/>
      <c r="F128" s="38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</row>
    <row r="129" spans="1:20" s="22" customFormat="1" ht="13.2">
      <c r="A129" s="21"/>
      <c r="B129" s="39"/>
      <c r="C129" s="36"/>
      <c r="D129" s="37"/>
      <c r="E129" s="29"/>
      <c r="F129" s="38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</row>
    <row r="130" spans="1:20" s="22" customFormat="1" ht="13.2">
      <c r="A130" s="21"/>
      <c r="B130" s="26"/>
      <c r="C130" s="21"/>
      <c r="D130" s="37"/>
      <c r="E130" s="29"/>
      <c r="F130" s="27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</row>
    <row r="131" spans="1:20" s="22" customFormat="1" ht="13.2">
      <c r="A131" s="21"/>
      <c r="B131" s="26"/>
      <c r="C131" s="21"/>
      <c r="D131" s="30"/>
      <c r="E131" s="29"/>
      <c r="F131" s="27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</row>
    <row r="132" spans="1:20" s="22" customFormat="1" ht="13.2">
      <c r="A132" s="21"/>
      <c r="B132" s="26"/>
      <c r="C132" s="21"/>
      <c r="D132" s="30"/>
      <c r="E132" s="29"/>
      <c r="F132" s="27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</row>
    <row r="133" spans="1:20" s="22" customFormat="1" ht="13.2">
      <c r="A133" s="21"/>
      <c r="B133" s="26"/>
      <c r="C133" s="21"/>
      <c r="D133" s="30"/>
      <c r="E133" s="29"/>
      <c r="F133" s="27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</row>
    <row r="134" spans="1:20" s="22" customFormat="1" ht="13.2">
      <c r="A134" s="21"/>
      <c r="B134" s="26"/>
      <c r="C134" s="21"/>
      <c r="D134" s="30"/>
      <c r="E134" s="29"/>
      <c r="F134" s="27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</row>
    <row r="135" spans="1:20" s="22" customFormat="1" ht="13.2">
      <c r="A135" s="21"/>
      <c r="B135" s="26"/>
      <c r="C135" s="21"/>
      <c r="D135" s="30"/>
      <c r="E135" s="29"/>
      <c r="F135" s="27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</row>
    <row r="136" spans="1:20" s="22" customFormat="1" ht="13.2">
      <c r="A136" s="21"/>
      <c r="B136" s="26"/>
      <c r="C136" s="21"/>
      <c r="D136" s="30"/>
      <c r="E136" s="29"/>
      <c r="F136" s="27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</row>
    <row r="137" spans="1:20" s="22" customFormat="1" ht="13.2">
      <c r="A137" s="21"/>
      <c r="B137" s="26"/>
      <c r="C137" s="21"/>
      <c r="D137" s="30"/>
      <c r="E137" s="29"/>
      <c r="F137" s="27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</row>
    <row r="138" spans="1:20" s="22" customFormat="1" ht="13.2">
      <c r="A138" s="21"/>
      <c r="B138" s="26"/>
      <c r="C138" s="21"/>
      <c r="D138" s="30"/>
      <c r="E138" s="29"/>
      <c r="F138" s="27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</row>
    <row r="139" spans="1:20" s="22" customFormat="1" ht="13.2">
      <c r="A139" s="21"/>
      <c r="B139" s="26"/>
      <c r="C139" s="21"/>
      <c r="D139" s="30"/>
      <c r="E139" s="29"/>
      <c r="F139" s="27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</row>
    <row r="140" spans="1:20" s="22" customFormat="1" ht="13.2">
      <c r="A140" s="21"/>
      <c r="B140" s="26"/>
      <c r="C140" s="21"/>
      <c r="D140" s="30"/>
      <c r="E140" s="29"/>
      <c r="F140" s="27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</row>
    <row r="141" spans="1:20" s="22" customFormat="1" ht="13.2">
      <c r="A141" s="21"/>
      <c r="B141" s="26"/>
      <c r="C141" s="21"/>
      <c r="D141" s="30"/>
      <c r="E141" s="29"/>
      <c r="F141" s="27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</row>
    <row r="142" spans="1:20" s="22" customFormat="1" ht="13.2">
      <c r="A142" s="21"/>
      <c r="B142" s="26"/>
      <c r="C142" s="21"/>
      <c r="D142" s="30"/>
      <c r="E142" s="29"/>
      <c r="F142" s="27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</row>
    <row r="143" spans="1:20" s="22" customFormat="1" ht="13.2">
      <c r="A143" s="21"/>
      <c r="B143" s="26"/>
      <c r="C143" s="21"/>
      <c r="D143" s="30"/>
      <c r="E143" s="29"/>
      <c r="F143" s="27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</row>
    <row r="144" spans="1:20" s="22" customFormat="1" ht="13.2">
      <c r="A144" s="21"/>
      <c r="B144" s="26"/>
      <c r="C144" s="21"/>
      <c r="D144" s="30"/>
      <c r="E144" s="29"/>
      <c r="F144" s="27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</row>
    <row r="145" spans="1:20" s="22" customFormat="1" ht="13.2">
      <c r="A145" s="21"/>
      <c r="B145" s="26"/>
      <c r="C145" s="21"/>
      <c r="D145" s="30"/>
      <c r="E145" s="29"/>
      <c r="F145" s="27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</row>
    <row r="146" spans="1:20" s="22" customFormat="1" ht="13.2">
      <c r="A146" s="21"/>
      <c r="B146" s="26"/>
      <c r="C146" s="21"/>
      <c r="D146" s="30"/>
      <c r="E146" s="29"/>
      <c r="F146" s="27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</row>
    <row r="147" spans="1:20" s="22" customFormat="1" ht="13.2">
      <c r="A147" s="21"/>
      <c r="B147" s="26"/>
      <c r="C147" s="21"/>
      <c r="D147" s="30"/>
      <c r="E147" s="29"/>
      <c r="F147" s="27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</row>
    <row r="148" spans="1:20" s="22" customFormat="1" ht="13.2">
      <c r="A148" s="21"/>
      <c r="B148" s="26"/>
      <c r="C148" s="21"/>
      <c r="D148" s="30"/>
      <c r="E148" s="29"/>
      <c r="F148" s="27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</row>
    <row r="149" spans="1:20" s="22" customFormat="1" ht="13.2">
      <c r="A149" s="21"/>
      <c r="B149" s="26"/>
      <c r="C149" s="21"/>
      <c r="D149" s="30"/>
      <c r="E149" s="29"/>
      <c r="F149" s="27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</row>
    <row r="150" spans="1:20" s="22" customFormat="1" ht="13.2">
      <c r="A150" s="21"/>
      <c r="B150" s="26"/>
      <c r="C150" s="21"/>
      <c r="D150" s="30"/>
      <c r="E150" s="29"/>
      <c r="F150" s="27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</row>
    <row r="151" spans="1:20" s="22" customFormat="1" ht="13.2">
      <c r="A151" s="21"/>
      <c r="B151" s="26"/>
      <c r="C151" s="21"/>
      <c r="D151" s="30"/>
      <c r="E151" s="29"/>
      <c r="F151" s="27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</row>
    <row r="152" spans="1:20" s="22" customFormat="1" ht="13.2">
      <c r="A152" s="21"/>
      <c r="B152" s="26"/>
      <c r="C152" s="21"/>
      <c r="D152" s="30"/>
      <c r="E152" s="29"/>
      <c r="F152" s="27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</row>
    <row r="153" spans="1:20" s="22" customFormat="1" ht="13.2">
      <c r="A153" s="21"/>
      <c r="B153" s="26"/>
      <c r="C153" s="21"/>
      <c r="D153" s="30"/>
      <c r="E153" s="29"/>
      <c r="F153" s="27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</row>
    <row r="154" spans="1:20" s="22" customFormat="1" ht="13.2">
      <c r="A154" s="21"/>
      <c r="B154" s="26"/>
      <c r="C154" s="21"/>
      <c r="D154" s="30"/>
      <c r="E154" s="29"/>
      <c r="F154" s="27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</row>
    <row r="155" spans="1:20" s="22" customFormat="1" ht="13.2">
      <c r="A155" s="21"/>
      <c r="B155" s="26"/>
      <c r="C155" s="21"/>
      <c r="D155" s="30"/>
      <c r="E155" s="29"/>
      <c r="F155" s="27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</row>
    <row r="156" spans="1:20" s="22" customFormat="1" ht="13.2">
      <c r="A156" s="21"/>
      <c r="B156" s="26"/>
      <c r="C156" s="21"/>
      <c r="D156" s="30"/>
      <c r="E156" s="29"/>
      <c r="F156" s="27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</row>
    <row r="157" spans="1:20" s="22" customFormat="1" ht="13.2">
      <c r="A157" s="21"/>
      <c r="B157" s="26"/>
      <c r="C157" s="21"/>
      <c r="D157" s="30"/>
      <c r="E157" s="29"/>
      <c r="F157" s="27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</row>
    <row r="158" spans="1:20" s="22" customFormat="1" ht="13.2">
      <c r="A158" s="21"/>
      <c r="B158" s="26"/>
      <c r="C158" s="21"/>
      <c r="D158" s="30"/>
      <c r="E158" s="29"/>
      <c r="F158" s="27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</row>
    <row r="159" spans="1:20" s="22" customFormat="1" ht="13.2">
      <c r="A159" s="21"/>
      <c r="B159" s="26"/>
      <c r="C159" s="21"/>
      <c r="D159" s="30"/>
      <c r="E159" s="29"/>
      <c r="F159" s="27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</row>
    <row r="160" spans="1:20" s="22" customFormat="1" ht="13.2">
      <c r="A160" s="21"/>
      <c r="B160" s="26"/>
      <c r="C160" s="21"/>
      <c r="D160" s="30"/>
      <c r="E160" s="29"/>
      <c r="F160" s="27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</row>
    <row r="161" spans="1:20" s="22" customFormat="1" ht="13.2">
      <c r="A161" s="21"/>
      <c r="B161" s="26"/>
      <c r="C161" s="21"/>
      <c r="D161" s="30"/>
      <c r="E161" s="29"/>
      <c r="F161" s="27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</row>
    <row r="162" spans="1:20" s="22" customFormat="1" ht="13.2">
      <c r="A162" s="21"/>
      <c r="B162" s="26"/>
      <c r="C162" s="21"/>
      <c r="D162" s="30"/>
      <c r="E162" s="29"/>
      <c r="F162" s="27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</row>
    <row r="163" spans="1:20" s="22" customFormat="1" ht="13.2">
      <c r="A163" s="21"/>
      <c r="B163" s="26"/>
      <c r="C163" s="21"/>
      <c r="D163" s="30"/>
      <c r="E163" s="29"/>
      <c r="F163" s="27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</row>
    <row r="164" spans="1:20" s="22" customFormat="1" ht="13.2">
      <c r="A164" s="21"/>
      <c r="B164" s="26"/>
      <c r="C164" s="21"/>
      <c r="D164" s="30"/>
      <c r="E164" s="29"/>
      <c r="F164" s="27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</row>
    <row r="165" spans="1:20" s="22" customFormat="1" ht="13.2">
      <c r="A165" s="21"/>
      <c r="B165" s="26"/>
      <c r="C165" s="21"/>
      <c r="D165" s="30"/>
      <c r="E165" s="29"/>
      <c r="F165" s="27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</row>
    <row r="166" spans="1:20" s="22" customFormat="1" ht="13.2">
      <c r="A166" s="21"/>
      <c r="B166" s="26"/>
      <c r="C166" s="21"/>
      <c r="D166" s="30"/>
      <c r="E166" s="29"/>
      <c r="F166" s="27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</row>
    <row r="167" spans="1:20" s="22" customFormat="1" ht="13.2">
      <c r="A167" s="21"/>
      <c r="B167" s="26"/>
      <c r="C167" s="21"/>
      <c r="D167" s="30"/>
      <c r="E167" s="29"/>
      <c r="F167" s="27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</row>
    <row r="168" spans="1:20" s="22" customFormat="1" ht="13.2">
      <c r="A168" s="21"/>
      <c r="B168" s="26"/>
      <c r="C168" s="21"/>
      <c r="D168" s="30"/>
      <c r="E168" s="29"/>
      <c r="F168" s="27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</row>
    <row r="169" spans="1:20" s="22" customFormat="1" ht="13.2">
      <c r="A169" s="21"/>
      <c r="B169" s="26"/>
      <c r="C169" s="21"/>
      <c r="D169" s="30"/>
      <c r="E169" s="29"/>
      <c r="F169" s="27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</row>
    <row r="170" spans="1:20" s="22" customFormat="1" ht="13.2">
      <c r="A170" s="21"/>
      <c r="B170" s="26"/>
      <c r="C170" s="21"/>
      <c r="D170" s="30"/>
      <c r="E170" s="29"/>
      <c r="F170" s="27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</row>
    <row r="171" spans="1:20" s="22" customFormat="1" ht="13.2">
      <c r="A171" s="21"/>
      <c r="B171" s="26"/>
      <c r="C171" s="21"/>
      <c r="D171" s="30"/>
      <c r="E171" s="29"/>
      <c r="F171" s="27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</row>
    <row r="172" spans="1:20" s="22" customFormat="1" ht="13.2">
      <c r="A172" s="21"/>
      <c r="B172" s="26"/>
      <c r="C172" s="21"/>
      <c r="D172" s="30"/>
      <c r="E172" s="29"/>
      <c r="F172" s="27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</row>
    <row r="173" spans="1:20" s="22" customFormat="1" ht="13.2">
      <c r="A173" s="21"/>
      <c r="B173" s="26"/>
      <c r="C173" s="21"/>
      <c r="D173" s="30"/>
      <c r="E173" s="29"/>
      <c r="F173" s="27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</row>
    <row r="174" spans="1:20" s="22" customFormat="1" ht="13.2">
      <c r="A174" s="21"/>
      <c r="B174" s="26"/>
      <c r="C174" s="21"/>
      <c r="D174" s="30"/>
      <c r="E174" s="29"/>
      <c r="F174" s="27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</row>
    <row r="175" spans="1:20" s="22" customFormat="1" ht="13.2">
      <c r="A175" s="21"/>
      <c r="B175" s="26"/>
      <c r="C175" s="21"/>
      <c r="D175" s="30"/>
      <c r="E175" s="29"/>
      <c r="F175" s="27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</row>
    <row r="176" spans="1:20" s="22" customFormat="1" ht="13.2">
      <c r="A176" s="21"/>
      <c r="B176" s="26"/>
      <c r="C176" s="21"/>
      <c r="D176" s="30"/>
      <c r="E176" s="29"/>
      <c r="F176" s="27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</row>
    <row r="177" spans="1:20" s="22" customFormat="1" ht="13.2">
      <c r="A177" s="21"/>
      <c r="B177" s="26"/>
      <c r="C177" s="21"/>
      <c r="D177" s="30"/>
      <c r="E177" s="29"/>
      <c r="F177" s="27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</row>
    <row r="178" spans="1:20" s="22" customFormat="1" ht="13.2">
      <c r="A178" s="21"/>
      <c r="B178" s="26"/>
      <c r="C178" s="21"/>
      <c r="D178" s="30"/>
      <c r="E178" s="29"/>
      <c r="F178" s="27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</row>
    <row r="179" spans="1:20" s="22" customFormat="1" ht="13.2">
      <c r="A179" s="21"/>
      <c r="B179" s="26"/>
      <c r="C179" s="21"/>
      <c r="D179" s="30"/>
      <c r="E179" s="29"/>
      <c r="F179" s="27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</row>
    <row r="180" spans="1:20" s="22" customFormat="1" ht="13.2">
      <c r="A180" s="21"/>
      <c r="B180" s="26"/>
      <c r="C180" s="21"/>
      <c r="D180" s="30"/>
      <c r="E180" s="29"/>
      <c r="F180" s="27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</row>
    <row r="181" spans="1:20" s="22" customFormat="1" ht="13.2">
      <c r="A181" s="21"/>
      <c r="B181" s="26"/>
      <c r="C181" s="21"/>
      <c r="D181" s="30"/>
      <c r="E181" s="29"/>
      <c r="F181" s="27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</row>
    <row r="182" spans="1:20" s="22" customFormat="1" ht="13.2">
      <c r="A182" s="21"/>
      <c r="B182" s="26"/>
      <c r="C182" s="21"/>
      <c r="D182" s="30"/>
      <c r="E182" s="29"/>
      <c r="F182" s="27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</row>
    <row r="183" spans="1:20" s="22" customFormat="1" ht="13.2">
      <c r="A183" s="21"/>
      <c r="B183" s="26"/>
      <c r="C183" s="21"/>
      <c r="D183" s="30"/>
      <c r="E183" s="29"/>
      <c r="F183" s="27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</row>
    <row r="184" spans="1:20" s="22" customFormat="1" ht="13.2">
      <c r="A184" s="21"/>
      <c r="B184" s="26"/>
      <c r="C184" s="21"/>
      <c r="D184" s="30"/>
      <c r="E184" s="29"/>
      <c r="F184" s="27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</row>
    <row r="185" spans="1:20" s="22" customFormat="1" ht="13.2">
      <c r="A185" s="21"/>
      <c r="B185" s="26"/>
      <c r="C185" s="21"/>
      <c r="D185" s="30"/>
      <c r="E185" s="29"/>
      <c r="F185" s="27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</row>
    <row r="186" spans="1:20" s="22" customFormat="1" ht="13.2">
      <c r="A186" s="21"/>
      <c r="B186" s="26"/>
      <c r="C186" s="21"/>
      <c r="D186" s="30"/>
      <c r="E186" s="29"/>
      <c r="F186" s="27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</row>
    <row r="187" spans="1:20" s="22" customFormat="1" ht="13.2">
      <c r="A187" s="21"/>
      <c r="B187" s="26"/>
      <c r="C187" s="21"/>
      <c r="D187" s="30"/>
      <c r="E187" s="29"/>
      <c r="F187" s="27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</row>
    <row r="188" spans="1:20" s="22" customFormat="1" ht="13.2">
      <c r="A188" s="21"/>
      <c r="B188" s="26"/>
      <c r="C188" s="21"/>
      <c r="D188" s="30"/>
      <c r="E188" s="29"/>
      <c r="F188" s="27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</row>
    <row r="189" spans="1:20" s="22" customFormat="1" ht="13.2">
      <c r="A189" s="21"/>
      <c r="B189" s="26"/>
      <c r="C189" s="21"/>
      <c r="D189" s="30"/>
      <c r="E189" s="29"/>
      <c r="F189" s="27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</row>
    <row r="190" spans="1:20" s="22" customFormat="1" ht="13.2">
      <c r="A190" s="21"/>
      <c r="B190" s="26"/>
      <c r="C190" s="21"/>
      <c r="D190" s="30"/>
      <c r="E190" s="29"/>
      <c r="F190" s="27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</row>
    <row r="191" spans="1:20" s="22" customFormat="1" ht="13.2">
      <c r="A191" s="21"/>
      <c r="B191" s="26"/>
      <c r="C191" s="21"/>
      <c r="D191" s="30"/>
      <c r="E191" s="29"/>
      <c r="F191" s="27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</row>
    <row r="192" spans="1:20" s="22" customFormat="1" ht="13.2">
      <c r="A192" s="21"/>
      <c r="B192" s="26"/>
      <c r="C192" s="21"/>
      <c r="D192" s="30"/>
      <c r="E192" s="29"/>
      <c r="F192" s="27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</row>
    <row r="193" spans="1:20" s="22" customFormat="1" ht="13.2">
      <c r="A193" s="21"/>
      <c r="B193" s="26"/>
      <c r="C193" s="21"/>
      <c r="D193" s="30"/>
      <c r="E193" s="29"/>
      <c r="F193" s="27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</row>
    <row r="194" spans="1:20" s="22" customFormat="1" ht="13.2">
      <c r="A194" s="21"/>
      <c r="B194" s="26"/>
      <c r="C194" s="21"/>
      <c r="D194" s="30"/>
      <c r="E194" s="29"/>
      <c r="F194" s="27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</row>
    <row r="195" spans="1:20" s="22" customFormat="1" ht="13.2">
      <c r="A195" s="21"/>
      <c r="B195" s="26"/>
      <c r="C195" s="21"/>
      <c r="D195" s="30"/>
      <c r="E195" s="29"/>
      <c r="F195" s="27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</row>
    <row r="196" spans="1:20" s="22" customFormat="1" ht="13.2">
      <c r="A196" s="21"/>
      <c r="B196" s="26"/>
      <c r="C196" s="21"/>
      <c r="D196" s="30"/>
      <c r="E196" s="29"/>
      <c r="F196" s="27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</row>
    <row r="197" spans="1:20" s="22" customFormat="1" ht="13.2">
      <c r="A197" s="21"/>
      <c r="B197" s="26"/>
      <c r="C197" s="21"/>
      <c r="D197" s="30"/>
      <c r="E197" s="29"/>
      <c r="F197" s="27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</row>
    <row r="198" spans="1:20" s="22" customFormat="1" ht="13.2">
      <c r="A198" s="21"/>
      <c r="B198" s="26"/>
      <c r="C198" s="21"/>
      <c r="D198" s="30"/>
      <c r="E198" s="29"/>
      <c r="F198" s="27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</row>
    <row r="199" spans="1:20" s="22" customFormat="1" ht="13.2">
      <c r="A199" s="21"/>
      <c r="B199" s="26"/>
      <c r="C199" s="21"/>
      <c r="D199" s="30"/>
      <c r="E199" s="29"/>
      <c r="F199" s="27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</row>
    <row r="200" spans="1:20" s="22" customFormat="1" ht="13.2">
      <c r="A200" s="21"/>
      <c r="B200" s="26"/>
      <c r="C200" s="21"/>
      <c r="D200" s="30"/>
      <c r="E200" s="29"/>
      <c r="F200" s="27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</row>
    <row r="201" spans="1:20" s="22" customFormat="1" ht="13.2">
      <c r="A201" s="21"/>
      <c r="B201" s="26"/>
      <c r="C201" s="21"/>
      <c r="D201" s="30"/>
      <c r="E201" s="29"/>
      <c r="F201" s="27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</row>
    <row r="202" spans="1:20" s="22" customFormat="1" ht="13.2">
      <c r="A202" s="21"/>
      <c r="B202" s="26"/>
      <c r="C202" s="21"/>
      <c r="D202" s="30"/>
      <c r="E202" s="29"/>
      <c r="F202" s="27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</row>
    <row r="203" spans="1:20" s="22" customFormat="1" ht="13.2">
      <c r="A203" s="21"/>
      <c r="B203" s="26"/>
      <c r="C203" s="21"/>
      <c r="D203" s="30"/>
      <c r="E203" s="29"/>
      <c r="F203" s="27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</row>
    <row r="204" spans="1:20" s="22" customFormat="1" ht="13.2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</row>
    <row r="205" spans="1:20" s="22" customFormat="1" ht="13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</row>
    <row r="206" spans="1:20" s="22" customFormat="1" ht="13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</row>
    <row r="207" spans="1:20" s="22" customFormat="1" ht="13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</row>
    <row r="208" spans="1:20" s="22" customFormat="1" ht="13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</row>
    <row r="209" spans="1:20" s="22" customFormat="1" ht="13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</row>
    <row r="210" spans="1:20" s="22" customFormat="1" ht="13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</row>
    <row r="211" spans="1:20" s="22" customFormat="1" ht="13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</row>
    <row r="212" spans="1:20" s="22" customFormat="1" ht="13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</row>
    <row r="213" spans="1:20" s="22" customFormat="1" ht="13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</row>
    <row r="214" spans="1:20" s="22" customFormat="1" ht="13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</row>
    <row r="215" spans="1:20" s="22" customFormat="1" ht="13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</row>
    <row r="216" spans="1:20" s="22" customFormat="1" ht="13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</row>
    <row r="217" spans="1:20" s="22" customFormat="1" ht="13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</row>
    <row r="218" spans="1:20" s="22" customFormat="1" ht="13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</row>
    <row r="219" spans="1:20" s="22" customFormat="1" ht="13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</row>
    <row r="220" spans="1:20" s="22" customFormat="1" ht="13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</row>
    <row r="221" spans="1:20" s="22" customFormat="1" ht="13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</row>
    <row r="222" spans="1:20" s="22" customFormat="1" ht="13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</row>
    <row r="223" spans="1:20" s="22" customFormat="1" ht="13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</row>
    <row r="224" spans="1:20" s="22" customFormat="1" ht="13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</row>
    <row r="225" spans="1:20" s="22" customFormat="1" ht="13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</row>
    <row r="226" spans="1:20" s="22" customFormat="1" ht="13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</row>
    <row r="227" spans="1:20" s="22" customFormat="1" ht="13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</row>
    <row r="228" spans="1:20" s="22" customFormat="1" ht="13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</row>
    <row r="229" spans="1:20" s="22" customFormat="1" ht="13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</row>
    <row r="230" spans="1:20" s="22" customFormat="1" ht="13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</row>
    <row r="231" spans="1:20" s="22" customFormat="1" ht="13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</row>
    <row r="232" spans="1:20" s="22" customFormat="1" ht="13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</row>
    <row r="233" spans="1:20" s="22" customFormat="1" ht="13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</row>
    <row r="234" spans="1:20" s="22" customFormat="1" ht="13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</row>
    <row r="235" spans="1:20" s="22" customFormat="1" ht="13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</row>
    <row r="236" spans="1:20" s="22" customFormat="1" ht="13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</row>
    <row r="237" spans="1:20" s="22" customFormat="1" ht="13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</row>
    <row r="238" spans="1:20" s="22" customFormat="1" ht="13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</row>
    <row r="239" spans="1:20" s="22" customFormat="1" ht="13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</row>
    <row r="240" spans="1:20" s="22" customFormat="1" ht="13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</row>
    <row r="241" spans="1:20" s="22" customFormat="1" ht="13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</row>
    <row r="242" spans="1:20" s="22" customFormat="1" ht="13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</row>
    <row r="243" spans="1:20" s="22" customFormat="1" ht="13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</row>
    <row r="244" spans="1:20" s="22" customFormat="1" ht="13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</row>
    <row r="245" spans="1:20" s="22" customFormat="1" ht="13.2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</row>
    <row r="246" spans="1:20" s="22" customFormat="1" ht="13.2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</row>
    <row r="247" spans="1:20" s="22" customFormat="1" ht="13.2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</row>
    <row r="248" spans="1:20" s="22" customFormat="1" ht="13.2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</row>
    <row r="249" spans="1:20" s="22" customFormat="1" ht="13.2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</row>
    <row r="250" spans="1:20" s="22" customFormat="1" ht="13.2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</row>
    <row r="251" spans="1:20" s="22" customFormat="1" ht="13.2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</row>
    <row r="252" spans="1:20" s="22" customFormat="1" ht="13.2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</row>
    <row r="253" spans="1:20" s="22" customFormat="1" ht="13.2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</row>
    <row r="254" spans="1:20" s="22" customFormat="1" ht="13.2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</row>
    <row r="255" spans="1:20" s="22" customFormat="1" ht="13.2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</row>
    <row r="256" spans="1:20" s="22" customFormat="1" ht="13.2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</row>
    <row r="257" spans="1:20" s="22" customFormat="1" ht="13.2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</row>
    <row r="258" spans="1:20" s="22" customFormat="1" ht="13.2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</row>
    <row r="259" spans="1:20" s="22" customFormat="1" ht="13.2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</row>
    <row r="260" spans="1:20" s="22" customFormat="1" ht="13.2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</row>
    <row r="261" spans="1:20" s="22" customFormat="1" ht="13.2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</row>
    <row r="262" spans="1:20" s="22" customFormat="1" ht="13.2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</row>
    <row r="263" spans="1:20" s="22" customFormat="1" ht="13.2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</row>
    <row r="264" spans="1:20" s="22" customFormat="1" ht="13.2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</row>
    <row r="265" spans="1:20" s="22" customFormat="1" ht="13.2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</row>
    <row r="266" spans="1:20" s="22" customFormat="1" ht="13.2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</row>
    <row r="267" spans="1:20" s="22" customFormat="1" ht="13.2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</row>
    <row r="268" spans="1:20" s="22" customFormat="1" ht="13.2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</row>
    <row r="269" spans="1:20" s="22" customFormat="1" ht="13.2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</row>
    <row r="270" spans="1:20" s="22" customFormat="1" ht="13.2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</row>
    <row r="271" spans="1:20" s="22" customFormat="1" ht="13.2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</row>
    <row r="272" spans="1:20" s="22" customFormat="1" ht="13.2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</row>
    <row r="273" spans="1:20" s="22" customFormat="1" ht="13.2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</row>
    <row r="274" spans="1:20" s="22" customFormat="1" ht="13.2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</row>
    <row r="275" spans="1:20" s="22" customFormat="1" ht="13.2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</row>
    <row r="276" spans="1:20" s="22" customFormat="1" ht="13.2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</row>
    <row r="277" spans="1:20" s="22" customFormat="1" ht="13.2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</row>
    <row r="278" spans="1:20" s="22" customFormat="1" ht="13.2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</row>
    <row r="279" spans="1:20" s="22" customFormat="1" ht="13.2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</row>
    <row r="280" spans="1:20" s="22" customFormat="1" ht="13.2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</row>
    <row r="281" spans="1:20" s="22" customFormat="1" ht="13.2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</row>
    <row r="282" spans="1:20" s="22" customFormat="1" ht="13.2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</row>
    <row r="283" spans="1:20" s="22" customFormat="1" ht="13.2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</row>
    <row r="284" spans="1:20" s="22" customFormat="1" ht="13.2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</row>
    <row r="285" spans="1:20" s="22" customFormat="1" ht="13.2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</row>
    <row r="286" spans="1:20" s="22" customFormat="1" ht="13.2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</row>
    <row r="287" spans="1:20" s="22" customFormat="1" ht="13.2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</row>
    <row r="288" spans="1:20" s="22" customFormat="1" ht="13.2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</row>
    <row r="289" spans="1:20" s="22" customFormat="1" ht="13.2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</row>
    <row r="290" spans="1:20" s="22" customFormat="1" ht="13.2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</row>
    <row r="291" spans="1:20" s="22" customFormat="1" ht="13.2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</row>
    <row r="292" spans="1:20" s="22" customFormat="1" ht="13.2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</row>
    <row r="293" spans="1:20" s="22" customFormat="1" ht="13.2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</row>
    <row r="294" spans="1:20" s="22" customFormat="1" ht="13.2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</row>
    <row r="295" spans="1:20" s="22" customFormat="1" ht="13.2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</row>
    <row r="296" spans="1:20" s="22" customFormat="1" ht="13.2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</row>
    <row r="297" spans="1:20" s="22" customFormat="1" ht="13.2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</row>
    <row r="298" spans="1:20" s="22" customFormat="1" ht="13.2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</row>
    <row r="299" spans="1:20" s="22" customFormat="1" ht="13.2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</row>
    <row r="300" spans="1:20" s="22" customFormat="1" ht="13.2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</row>
    <row r="301" spans="1:20" s="22" customFormat="1" ht="13.2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</row>
    <row r="302" spans="1:20" s="22" customFormat="1" ht="13.2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</row>
    <row r="303" spans="1:20" s="22" customFormat="1" ht="13.2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</row>
    <row r="304" spans="1:20" s="22" customFormat="1" ht="13.2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</row>
    <row r="305" spans="1:20" s="22" customFormat="1" ht="13.2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</row>
    <row r="306" spans="1:20" s="22" customFormat="1" ht="13.2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</row>
    <row r="307" spans="1:20" s="22" customFormat="1" ht="13.2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</row>
    <row r="308" spans="1:20" s="22" customFormat="1" ht="13.2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</row>
    <row r="309" spans="1:20" s="22" customFormat="1" ht="13.2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</row>
    <row r="310" spans="1:20" s="22" customFormat="1" ht="13.2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</row>
    <row r="311" spans="1:20" s="22" customFormat="1" ht="13.2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</row>
    <row r="312" spans="1:20" s="22" customFormat="1" ht="13.2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</row>
    <row r="313" spans="1:20" s="22" customFormat="1" ht="13.2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</row>
    <row r="314" spans="1:20" s="22" customFormat="1" ht="13.2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</row>
    <row r="315" spans="1:20" s="22" customFormat="1" ht="13.2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</row>
    <row r="316" spans="1:20" s="22" customFormat="1" ht="13.2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</row>
    <row r="317" spans="1:20" s="22" customFormat="1" ht="13.2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</row>
    <row r="318" spans="1:20" s="22" customFormat="1" ht="13.2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</row>
    <row r="319" spans="1:20" s="22" customFormat="1" ht="13.2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</row>
    <row r="320" spans="1:20" s="22" customFormat="1" ht="13.2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</row>
    <row r="321" spans="1:20" s="22" customFormat="1" ht="13.2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</row>
    <row r="322" spans="1:20" s="22" customFormat="1" ht="13.2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</row>
    <row r="323" spans="1:20" s="22" customFormat="1" ht="13.2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</row>
    <row r="324" spans="1:20" s="22" customFormat="1" ht="13.2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</row>
    <row r="325" spans="1:20" s="22" customFormat="1" ht="13.2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</row>
    <row r="326" spans="1:20" s="22" customFormat="1" ht="13.2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</row>
    <row r="327" spans="1:20" s="22" customFormat="1" ht="13.2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</row>
    <row r="328" spans="1:20" s="22" customFormat="1" ht="13.2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</row>
    <row r="329" spans="1:20" s="22" customFormat="1" ht="13.2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</row>
    <row r="330" spans="1:20" s="22" customFormat="1" ht="13.2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</row>
    <row r="331" spans="1:20" s="22" customFormat="1" ht="13.2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</row>
    <row r="332" spans="1:20" s="22" customFormat="1" ht="13.2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</row>
    <row r="333" spans="1:20" s="22" customFormat="1" ht="13.2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</row>
    <row r="334" spans="1:20" s="22" customFormat="1" ht="13.2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</row>
    <row r="335" spans="1:20" s="22" customFormat="1" ht="13.2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</row>
    <row r="336" spans="1:20" s="22" customFormat="1" ht="13.2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</row>
    <row r="337" spans="1:20" s="22" customFormat="1" ht="13.2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</row>
    <row r="338" spans="1:20" s="22" customFormat="1" ht="13.2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</row>
    <row r="339" spans="1:20" s="22" customFormat="1" ht="13.2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</row>
    <row r="340" spans="1:20" s="22" customFormat="1" ht="13.2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</row>
    <row r="341" spans="1:20" s="22" customFormat="1" ht="13.2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</row>
    <row r="342" spans="1:20" s="22" customFormat="1" ht="13.2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</row>
    <row r="343" spans="1:20" s="22" customFormat="1" ht="13.2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</row>
    <row r="344" spans="1:20" s="22" customFormat="1" ht="13.2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</row>
    <row r="345" spans="1:20" s="22" customFormat="1" ht="13.2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</row>
    <row r="346" spans="1:20" s="22" customFormat="1" ht="13.2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</row>
    <row r="347" spans="1:20" s="22" customFormat="1" ht="13.2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</row>
    <row r="348" spans="1:20" s="22" customFormat="1" ht="13.2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</row>
    <row r="349" spans="1:20" s="22" customFormat="1" ht="13.2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</row>
    <row r="350" spans="1:20" s="22" customFormat="1" ht="13.2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</row>
    <row r="351" spans="1:20" s="22" customFormat="1" ht="13.2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</row>
    <row r="352" spans="1:20" s="22" customFormat="1" ht="13.2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</row>
    <row r="353" spans="1:20" ht="13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</row>
    <row r="354" spans="1:20" ht="13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</row>
    <row r="355" spans="1:20" ht="13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</row>
    <row r="356" spans="1:20" ht="13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</row>
    <row r="357" spans="1:20" ht="13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</row>
    <row r="358" spans="1:20" ht="13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</row>
    <row r="359" spans="1:20" ht="13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</row>
    <row r="360" spans="1:20" ht="13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</row>
    <row r="361" spans="1:20" ht="13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</row>
    <row r="362" spans="1:20" ht="13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</row>
    <row r="363" spans="1:20" ht="13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</row>
    <row r="364" spans="1:20" ht="13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</row>
    <row r="365" spans="1:20" ht="13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</row>
    <row r="366" spans="1:20" ht="13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</row>
    <row r="367" spans="1:20" ht="13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</row>
    <row r="368" spans="1:20" ht="13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</row>
    <row r="369" spans="1:20" ht="13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</row>
    <row r="370" spans="1:20" ht="13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</row>
    <row r="371" spans="1:20" ht="13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</row>
    <row r="372" spans="1:20" ht="13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</row>
    <row r="373" spans="1:20" ht="13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</row>
    <row r="374" spans="1:20" ht="13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</row>
    <row r="375" spans="1:20" ht="13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</row>
    <row r="376" spans="1:20" ht="13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</row>
    <row r="377" spans="1:20" ht="13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</row>
    <row r="378" spans="1:20" ht="13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</row>
    <row r="379" spans="1:20" ht="13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</row>
    <row r="380" spans="1:20" ht="13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</row>
    <row r="381" spans="1:20" ht="13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</row>
    <row r="382" spans="1:20" ht="13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</row>
    <row r="383" spans="1:20" ht="13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</row>
    <row r="384" spans="1:20" ht="13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</row>
    <row r="385" spans="1:20" ht="13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</row>
    <row r="386" spans="1:20" ht="13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</row>
    <row r="387" spans="1:20" ht="13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</row>
    <row r="388" spans="1:20" ht="13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</row>
    <row r="389" spans="1:20" ht="13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</row>
    <row r="390" spans="1:20" ht="13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</row>
    <row r="391" spans="1:20" ht="13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</row>
    <row r="392" spans="1:20" ht="13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</row>
    <row r="393" spans="1:20" ht="13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</row>
    <row r="394" spans="1:20" ht="13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</row>
    <row r="395" spans="1:20" ht="13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</row>
    <row r="396" spans="1:20" ht="13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</row>
    <row r="397" spans="1:20" ht="13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</row>
    <row r="398" spans="1:20" ht="13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</row>
    <row r="399" spans="1:20" ht="13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</row>
    <row r="400" spans="1:20" ht="13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</row>
    <row r="401" spans="1:20" ht="13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</row>
    <row r="402" spans="1:20" ht="13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</row>
    <row r="403" spans="1:20" ht="13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</row>
    <row r="404" spans="1:20" ht="13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</row>
    <row r="405" spans="1:20" ht="13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</row>
    <row r="406" spans="1:20" ht="13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</row>
    <row r="407" spans="1:20" ht="13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</row>
    <row r="408" spans="1:20" ht="13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</row>
    <row r="409" spans="1:20" ht="13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</row>
    <row r="410" spans="1:20" ht="13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</row>
    <row r="411" spans="1:20" ht="13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</row>
    <row r="412" spans="1:20" ht="13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</row>
    <row r="413" spans="1:20" ht="13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</row>
    <row r="414" spans="1:20" ht="13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</row>
    <row r="415" spans="1:20" ht="13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</row>
    <row r="416" spans="1:20" ht="13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</row>
    <row r="417" spans="1:20" ht="13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</row>
    <row r="418" spans="1:20" ht="13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</row>
    <row r="419" spans="1:20" ht="13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</row>
    <row r="420" spans="1:20" ht="13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</row>
    <row r="421" spans="1:20" ht="13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</row>
    <row r="422" spans="1:20" ht="13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</row>
    <row r="423" spans="1:20" ht="13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</row>
    <row r="424" spans="1:20" ht="13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</row>
    <row r="425" spans="1:20" ht="13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</row>
    <row r="426" spans="1:20" ht="13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</row>
    <row r="427" spans="1:20" ht="13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</row>
    <row r="428" spans="1:20" ht="13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</row>
    <row r="429" spans="1:20" ht="13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</row>
    <row r="430" spans="1:20" ht="13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</row>
    <row r="431" spans="1:20" ht="13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</row>
    <row r="432" spans="1:20" ht="13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</row>
    <row r="433" spans="1:20" ht="13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</row>
    <row r="434" spans="1:20" ht="13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</row>
    <row r="435" spans="1:20" ht="13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</row>
    <row r="436" spans="1:20" ht="13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</row>
    <row r="437" spans="1:20" ht="13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</row>
    <row r="438" spans="1:20" ht="13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</row>
    <row r="439" spans="1:20" ht="13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</row>
    <row r="440" spans="1:20" ht="13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</row>
    <row r="441" spans="1:20" ht="13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</row>
    <row r="442" spans="1:20" ht="13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</row>
    <row r="443" spans="1:20" ht="13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</row>
    <row r="444" spans="1:20" ht="13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</row>
    <row r="445" spans="1:20" ht="13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</row>
    <row r="446" spans="1:20" ht="13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</row>
    <row r="447" spans="1:20" ht="13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</row>
    <row r="448" spans="1:20" ht="13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</row>
    <row r="449" spans="1:20" ht="13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</row>
    <row r="450" spans="1:20" ht="13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</row>
    <row r="451" spans="1:20" ht="13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</row>
    <row r="452" spans="1:20" ht="13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</row>
    <row r="453" spans="1:20" ht="13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</row>
    <row r="454" spans="1:20" ht="13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</row>
    <row r="455" spans="1:20" ht="13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</row>
    <row r="456" spans="1:20" ht="13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</row>
    <row r="457" spans="1:20" ht="13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</row>
    <row r="458" spans="1:20" ht="13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</row>
    <row r="459" spans="1:20" ht="13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</row>
    <row r="460" spans="1:20" ht="13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</row>
    <row r="461" spans="1:20" ht="13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</row>
    <row r="462" spans="1:20" ht="13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</row>
    <row r="463" spans="1:20" ht="13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</row>
    <row r="464" spans="1:20" ht="13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</row>
    <row r="465" spans="1:20" ht="13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</row>
    <row r="466" spans="1:20" ht="13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</row>
    <row r="467" spans="1:20" ht="13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</row>
    <row r="468" spans="1:20" ht="13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</row>
    <row r="469" spans="1:20" ht="13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</row>
    <row r="470" spans="1:20" ht="13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</row>
    <row r="471" spans="1:20" ht="13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</row>
    <row r="472" spans="1:20" ht="13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</row>
    <row r="473" spans="1:20" ht="13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</row>
    <row r="474" spans="1:20" ht="13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</row>
    <row r="475" spans="1:20" ht="13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</row>
    <row r="476" spans="1:20" ht="13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</row>
    <row r="477" spans="1:20" ht="13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</row>
    <row r="478" spans="1:20" ht="13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</row>
    <row r="479" spans="1:20" ht="13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</row>
    <row r="480" spans="1:20" ht="13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</row>
    <row r="481" spans="1:20" ht="13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</row>
    <row r="482" spans="1:20" ht="13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</row>
    <row r="483" spans="1:20" ht="13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</row>
    <row r="484" spans="1:20" ht="13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</row>
    <row r="485" spans="1:20" ht="13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</row>
    <row r="486" spans="1:20" ht="13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</row>
    <row r="487" spans="1:20" ht="13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</row>
    <row r="488" spans="1:20" ht="13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</row>
    <row r="489" spans="1:20" ht="13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</row>
    <row r="490" spans="1:20" ht="13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</row>
    <row r="491" spans="1:20" ht="13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</row>
    <row r="492" spans="1:20" ht="13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</row>
    <row r="493" spans="1:20" ht="13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</row>
    <row r="494" spans="1:20" ht="13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</row>
    <row r="495" spans="1:20" ht="13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</row>
    <row r="496" spans="1:20" ht="13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</row>
    <row r="497" spans="1:20" ht="13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</row>
    <row r="498" spans="1:20" ht="13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</row>
    <row r="499" spans="1:20" ht="13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</row>
    <row r="500" spans="1:20" ht="13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</row>
    <row r="501" spans="1:20" ht="13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</row>
    <row r="502" spans="1:20" ht="13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</row>
    <row r="503" spans="1:20" ht="13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</row>
    <row r="504" spans="1:20" ht="13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</row>
    <row r="505" spans="1:20" ht="13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</row>
    <row r="506" spans="1:20" ht="13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</row>
    <row r="507" spans="1:20" ht="13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</row>
    <row r="508" spans="1:20" ht="13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</row>
    <row r="509" spans="1:20" ht="13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</row>
    <row r="510" spans="1:20" ht="13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</row>
    <row r="511" spans="1:20" ht="13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</row>
    <row r="512" spans="1:20" ht="13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</row>
    <row r="513" spans="1:20" ht="13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</row>
    <row r="514" spans="1:20" ht="13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</row>
    <row r="515" spans="1:20" ht="13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</row>
    <row r="516" spans="1:20" ht="13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</row>
    <row r="517" spans="1:20" ht="13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</row>
    <row r="518" spans="1:20" ht="13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</row>
    <row r="519" spans="1:20" ht="13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</row>
    <row r="520" spans="1:20" ht="13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</row>
    <row r="521" spans="1:20" ht="13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</row>
    <row r="522" spans="1:20" ht="13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</row>
    <row r="523" spans="1:20" ht="13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</row>
    <row r="524" spans="1:20" ht="13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</row>
    <row r="525" spans="1:20" ht="13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</row>
    <row r="526" spans="1:20" ht="13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</row>
    <row r="527" spans="1:20" ht="13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</row>
    <row r="528" spans="1:20" ht="13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</row>
    <row r="529" spans="1:20" ht="13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</row>
    <row r="530" spans="1:20" ht="13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</row>
    <row r="531" spans="1:20" ht="13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</row>
    <row r="532" spans="1:20" ht="13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</row>
    <row r="533" spans="1:20" ht="13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</row>
    <row r="534" spans="1:20" ht="13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</row>
    <row r="535" spans="1:20" ht="13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</row>
    <row r="536" spans="1:20" ht="13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</row>
    <row r="537" spans="1:20" ht="13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</row>
    <row r="538" spans="1:20" ht="13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</row>
    <row r="539" spans="1:20" ht="13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</row>
    <row r="540" spans="1:20" ht="13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</row>
    <row r="541" spans="1:20" ht="13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</row>
    <row r="542" spans="1:20" ht="13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</row>
    <row r="543" spans="1:20" ht="13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</row>
    <row r="544" spans="1:20" ht="13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</row>
    <row r="545" spans="1:20" ht="13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</row>
    <row r="546" spans="1:20" ht="13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</row>
    <row r="547" spans="1:20" ht="13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</row>
    <row r="548" spans="1:20" ht="13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</row>
    <row r="549" spans="1:20" ht="13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</row>
    <row r="550" spans="1:20" ht="13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</row>
    <row r="551" spans="1:20" ht="13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</row>
    <row r="552" spans="1:20" ht="13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</row>
    <row r="553" spans="1:20" ht="13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</row>
    <row r="554" spans="1:20" ht="13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</row>
    <row r="555" spans="1:20" ht="13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</row>
    <row r="556" spans="1:20" ht="13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</row>
    <row r="557" spans="1:20" ht="13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</row>
    <row r="558" spans="1:20" ht="13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</row>
    <row r="559" spans="1:20" ht="13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</row>
    <row r="560" spans="1:20" ht="13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</row>
    <row r="561" spans="1:20" ht="13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</row>
    <row r="562" spans="1:20" ht="13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</row>
    <row r="563" spans="1:20" ht="13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</row>
    <row r="564" spans="1:20" ht="13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</row>
    <row r="565" spans="1:20" ht="13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</row>
    <row r="566" spans="1:20" ht="13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</row>
    <row r="567" spans="1:20" ht="13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</row>
    <row r="568" spans="1:20" ht="13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</row>
    <row r="569" spans="1:20" ht="13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</row>
    <row r="570" spans="1:20" ht="13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</row>
    <row r="571" spans="1:20" ht="13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</row>
    <row r="572" spans="1:20" ht="13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</row>
    <row r="573" spans="1:20" ht="13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</row>
    <row r="574" spans="1:20" ht="13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</row>
    <row r="575" spans="1:20" ht="13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</row>
    <row r="576" spans="1:20" ht="13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</row>
    <row r="577" spans="1:20" ht="13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</row>
    <row r="578" spans="1:20" ht="13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</row>
    <row r="579" spans="1:20" ht="13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</row>
    <row r="580" spans="1:20" ht="13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</row>
    <row r="581" spans="1:20" ht="13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</row>
    <row r="582" spans="1:20" ht="13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</row>
    <row r="583" spans="1:20" ht="13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</row>
    <row r="584" spans="1:20" ht="13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</row>
    <row r="585" spans="1:20" ht="13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</row>
    <row r="586" spans="1:20" ht="13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</row>
    <row r="587" spans="1:20" ht="13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</row>
    <row r="588" spans="1:20" ht="13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</row>
    <row r="589" spans="1:20" ht="13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</row>
    <row r="590" spans="1:20" ht="13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</row>
    <row r="591" spans="1:20" ht="13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</row>
    <row r="592" spans="1:20" ht="13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</row>
    <row r="593" spans="1:20" ht="13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</row>
    <row r="594" spans="1:20" ht="13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</row>
    <row r="595" spans="1:20" ht="13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</row>
    <row r="596" spans="1:20" ht="13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</row>
    <row r="597" spans="1:20" ht="13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</row>
    <row r="598" spans="1:20" ht="13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</row>
    <row r="599" spans="1:20" ht="13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</row>
    <row r="600" spans="1:20" ht="13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</row>
    <row r="601" spans="1:20" ht="13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</row>
    <row r="602" spans="1:20" ht="13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</row>
    <row r="603" spans="1:20" ht="13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</row>
    <row r="604" spans="1:20" ht="13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</row>
    <row r="605" spans="1:20" ht="13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</row>
    <row r="606" spans="1:20" ht="13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</row>
    <row r="607" spans="1:20" ht="13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</row>
    <row r="608" spans="1:20" ht="13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</row>
    <row r="609" spans="1:20" ht="13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</row>
    <row r="610" spans="1:20" ht="13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</row>
    <row r="611" spans="1:20" ht="13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</row>
    <row r="612" spans="1:20" ht="13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</row>
    <row r="613" spans="1:20" ht="13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</row>
    <row r="614" spans="1:20" ht="13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</row>
    <row r="615" spans="1:20" ht="13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</row>
    <row r="616" spans="1:20" ht="13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</row>
    <row r="617" spans="1:20" ht="13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</row>
    <row r="618" spans="1:20" ht="13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</row>
    <row r="619" spans="1:20" ht="13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</row>
    <row r="620" spans="1:20" ht="13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</row>
    <row r="621" spans="1:20" ht="13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</row>
    <row r="622" spans="1:20" ht="13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</row>
    <row r="623" spans="1:20" ht="13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</row>
    <row r="624" spans="1:20" ht="13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</row>
    <row r="625" spans="1:20" ht="13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</row>
    <row r="626" spans="1:20" ht="13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</row>
    <row r="627" spans="1:20" ht="13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</row>
    <row r="628" spans="1:20" ht="13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</row>
    <row r="629" spans="1:20" ht="13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</row>
    <row r="630" spans="1:20" ht="13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</row>
    <row r="631" spans="1:20" ht="13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</row>
    <row r="632" spans="1:20" ht="13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</row>
    <row r="633" spans="1:20" ht="13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</row>
    <row r="634" spans="1:20" ht="13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</row>
    <row r="635" spans="1:20" ht="13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</row>
    <row r="636" spans="1:20" ht="13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</row>
    <row r="637" spans="1:20" ht="13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</row>
    <row r="638" spans="1:20" ht="13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</row>
    <row r="639" spans="1:20" ht="13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</row>
    <row r="640" spans="1:20" ht="13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</row>
    <row r="641" spans="1:20" ht="13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</row>
    <row r="642" spans="1:20" ht="13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</row>
    <row r="643" spans="1:20" ht="13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</row>
    <row r="644" spans="1:20" ht="13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</row>
    <row r="645" spans="1:20" ht="13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</row>
    <row r="646" spans="1:20" ht="13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</row>
    <row r="647" spans="1:20" ht="13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</row>
    <row r="648" spans="1:20" ht="13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</row>
    <row r="649" spans="1:20" ht="13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</row>
    <row r="650" spans="1:20" ht="13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</row>
    <row r="651" spans="1:20" ht="13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</row>
    <row r="652" spans="1:20" ht="13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</row>
    <row r="653" spans="1:20" ht="13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</row>
    <row r="654" spans="1:20" ht="13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</row>
    <row r="655" spans="1:20" ht="13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</row>
    <row r="656" spans="1:20" ht="13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</row>
    <row r="657" spans="1:20" ht="13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</row>
    <row r="658" spans="1:20" ht="13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</row>
    <row r="659" spans="1:20" ht="13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</row>
    <row r="660" spans="1:20" ht="13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</row>
    <row r="661" spans="1:20" ht="13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</row>
    <row r="662" spans="1:20" ht="13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</row>
    <row r="663" spans="1:20" ht="13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</row>
    <row r="664" spans="1:20" ht="13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</row>
    <row r="665" spans="1:20" ht="13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</row>
    <row r="666" spans="1:20" ht="13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</row>
    <row r="667" spans="1:20" ht="13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</row>
    <row r="668" spans="1:20" ht="13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</row>
    <row r="669" spans="1:20" ht="13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</row>
    <row r="670" spans="1:20" ht="13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</row>
    <row r="671" spans="1:20" ht="13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</row>
    <row r="672" spans="1:20" ht="13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</row>
    <row r="673" spans="1:20" ht="13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</row>
    <row r="674" spans="1:20" ht="13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</row>
    <row r="675" spans="1:20" ht="13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</row>
    <row r="676" spans="1:20" ht="13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</row>
    <row r="677" spans="1:20" ht="13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</row>
    <row r="678" spans="1:20" ht="13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</row>
    <row r="679" spans="1:20" ht="13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</row>
    <row r="680" spans="1:20" ht="13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</row>
    <row r="681" spans="1:20" ht="13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</row>
    <row r="682" spans="1:20" ht="13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</row>
    <row r="683" spans="1:20" ht="13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</row>
    <row r="684" spans="1:20" ht="13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</row>
    <row r="685" spans="1:20" ht="13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</row>
    <row r="686" spans="1:20" ht="13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</row>
    <row r="687" spans="1:20" ht="13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</row>
    <row r="688" spans="1:20" ht="13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</row>
    <row r="689" spans="1:20" ht="13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</row>
    <row r="690" spans="1:20" ht="13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</row>
    <row r="691" spans="1:20" ht="13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</row>
    <row r="692" spans="1:20" ht="13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</row>
    <row r="693" spans="1:20" ht="13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</row>
    <row r="694" spans="1:20" ht="13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</row>
    <row r="695" spans="1:20" ht="13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</row>
    <row r="696" spans="1:20" ht="13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</row>
    <row r="697" spans="1:20" ht="13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</row>
    <row r="698" spans="1:20" ht="13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</row>
    <row r="699" spans="1:20" ht="13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</row>
    <row r="700" spans="1:20" ht="13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</row>
    <row r="701" spans="1:20" ht="13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</row>
    <row r="702" spans="1:20" ht="13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</row>
    <row r="703" spans="1:20" ht="13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</row>
    <row r="704" spans="1:20" ht="13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</row>
    <row r="705" spans="1:20" ht="13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</row>
    <row r="706" spans="1:20" ht="13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</row>
    <row r="707" spans="1:20" ht="13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</row>
    <row r="708" spans="1:20" ht="13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</row>
    <row r="709" spans="1:20" ht="13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</row>
    <row r="710" spans="1:20" ht="13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</row>
    <row r="711" spans="1:20" ht="13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</row>
    <row r="712" spans="1:20" ht="13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</row>
    <row r="713" spans="1:20" ht="13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</row>
    <row r="714" spans="1:20" ht="13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</row>
    <row r="715" spans="1:20" ht="13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</row>
    <row r="716" spans="1:20" ht="13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</row>
    <row r="717" spans="1:20" ht="13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</row>
    <row r="718" spans="1:20" ht="13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</row>
    <row r="719" spans="1:20" ht="13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</row>
    <row r="720" spans="1:20" ht="13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</row>
    <row r="721" spans="1:20" ht="13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</row>
    <row r="722" spans="1:20" ht="13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</row>
    <row r="723" spans="1:20" ht="13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</row>
    <row r="724" spans="1:20" ht="13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</row>
    <row r="725" spans="1:20" ht="13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</row>
    <row r="726" spans="1:20" ht="13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</row>
    <row r="727" spans="1:20" ht="13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</row>
    <row r="728" spans="1:20" ht="13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</row>
    <row r="729" spans="1:20" ht="13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</row>
    <row r="730" spans="1:20" ht="13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</row>
    <row r="731" spans="1:20" ht="13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</row>
    <row r="732" spans="1:20" ht="13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</row>
    <row r="733" spans="1:20" ht="13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</row>
    <row r="734" spans="1:20" ht="13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</row>
    <row r="735" spans="1:20" ht="13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</row>
    <row r="736" spans="1:20" ht="13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</row>
    <row r="737" spans="1:20" ht="13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</row>
    <row r="738" spans="1:20" ht="13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</row>
    <row r="739" spans="1:20" ht="13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</row>
    <row r="740" spans="1:20" ht="13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</row>
    <row r="741" spans="1:20" ht="13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</row>
    <row r="742" spans="1:20" ht="13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</row>
    <row r="743" spans="1:20" ht="13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</row>
    <row r="744" spans="1:20" ht="13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1:20" ht="13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</row>
    <row r="746" spans="1:20" ht="13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</row>
    <row r="747" spans="1:20" ht="13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</row>
    <row r="748" spans="1:20" ht="13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</row>
    <row r="749" spans="1:20" ht="13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</row>
    <row r="750" spans="1:20" ht="13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</row>
    <row r="751" spans="1:20" ht="13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</row>
    <row r="752" spans="1:20" ht="13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</row>
    <row r="753" spans="1:20" ht="13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</row>
    <row r="754" spans="1:20" ht="13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</row>
    <row r="755" spans="1:20" ht="13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</row>
    <row r="756" spans="1:20" ht="13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</row>
    <row r="757" spans="1:20" ht="13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</row>
    <row r="758" spans="1:20" ht="13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</row>
    <row r="759" spans="1:20" ht="13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</row>
    <row r="760" spans="1:20" ht="13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</row>
    <row r="761" spans="1:20" ht="13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</row>
    <row r="762" spans="1:20" ht="13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</row>
    <row r="763" spans="1:20" ht="13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</row>
    <row r="764" spans="1:20" ht="13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</row>
    <row r="765" spans="1:20" ht="13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</row>
    <row r="766" spans="1:20" ht="13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</row>
    <row r="767" spans="1:20" ht="13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</row>
    <row r="768" spans="1:20" ht="13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</row>
    <row r="769" spans="1:20" ht="13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</row>
    <row r="770" spans="1:20" ht="13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</row>
    <row r="771" spans="1:20" ht="13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</row>
    <row r="772" spans="1:20" ht="13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</row>
    <row r="773" spans="1:20" ht="13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</row>
    <row r="774" spans="1:20" ht="13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</row>
    <row r="775" spans="1:20" ht="13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</row>
    <row r="776" spans="1:20" ht="13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</row>
    <row r="777" spans="1:20" ht="13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</row>
    <row r="778" spans="1:20" ht="13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</row>
    <row r="779" spans="1:20" ht="13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</row>
    <row r="780" spans="1:20" ht="13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</row>
    <row r="781" spans="1:20" ht="13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</row>
    <row r="782" spans="1:20" ht="13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</row>
    <row r="783" spans="1:20" ht="13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</row>
    <row r="784" spans="1:20" ht="13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</row>
    <row r="785" spans="1:20" ht="13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</row>
    <row r="786" spans="1:20" ht="13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</row>
    <row r="787" spans="1:20" ht="13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</row>
    <row r="788" spans="1:20" ht="13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</row>
    <row r="789" spans="1:20" ht="13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</row>
    <row r="790" spans="1:20" ht="13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</row>
    <row r="791" spans="1:20" ht="13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</row>
    <row r="792" spans="1:20" ht="13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</row>
    <row r="793" spans="1:20" ht="13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</row>
    <row r="794" spans="1:20" ht="13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</row>
    <row r="795" spans="1:20" ht="13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</row>
    <row r="796" spans="1:20" ht="13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</row>
    <row r="797" spans="1:20" ht="13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</row>
    <row r="798" spans="1:20" ht="13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</row>
    <row r="799" spans="1:20" ht="13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</row>
    <row r="800" spans="1:20" ht="13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</row>
    <row r="801" spans="1:20" ht="13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</row>
    <row r="802" spans="1:20" ht="13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</row>
    <row r="803" spans="1:20" ht="13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</row>
    <row r="804" spans="1:20" ht="13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</row>
    <row r="805" spans="1:20" ht="13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</row>
    <row r="806" spans="1:20" ht="13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</row>
    <row r="807" spans="1:20" ht="13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</row>
    <row r="808" spans="1:20" ht="13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</row>
    <row r="809" spans="1:20" ht="13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</row>
    <row r="810" spans="1:20" ht="13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</row>
    <row r="811" spans="1:20" ht="13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</row>
    <row r="812" spans="1:20" ht="13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</row>
    <row r="813" spans="1:20" ht="13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</row>
    <row r="814" spans="1:20" ht="13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</row>
    <row r="815" spans="1:20" ht="13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</row>
    <row r="816" spans="1:20" ht="13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</row>
    <row r="817" spans="1:20" ht="13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</row>
    <row r="818" spans="1:20" ht="13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</row>
    <row r="819" spans="1:20" ht="13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</row>
    <row r="820" spans="1:20" ht="13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</row>
    <row r="821" spans="1:20" ht="13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</row>
    <row r="822" spans="1:20" ht="13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</row>
    <row r="823" spans="1:20" ht="13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</row>
    <row r="824" spans="1:20" ht="13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</row>
    <row r="825" spans="1:20" ht="13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</row>
    <row r="826" spans="1:20" ht="13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</row>
    <row r="827" spans="1:20" ht="13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</row>
    <row r="828" spans="1:20" ht="13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</row>
    <row r="829" spans="1:20" ht="13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</row>
    <row r="830" spans="1:20" ht="13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</row>
    <row r="831" spans="1:20" ht="13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</row>
    <row r="832" spans="1:20" ht="13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</row>
    <row r="833" spans="1:20" ht="13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</row>
    <row r="834" spans="1:20" ht="13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</row>
    <row r="835" spans="1:20" ht="13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</row>
    <row r="836" spans="1:20" ht="13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</row>
    <row r="837" spans="1:20" ht="13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</row>
    <row r="838" spans="1:20" ht="13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</row>
    <row r="839" spans="1:20" ht="13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</row>
    <row r="840" spans="1:20" ht="13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</row>
    <row r="841" spans="1:20" ht="13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</row>
    <row r="842" spans="1:20" ht="13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</row>
    <row r="843" spans="1:20" ht="13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</row>
    <row r="844" spans="1:20" ht="13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</row>
    <row r="845" spans="1:20" ht="13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</row>
    <row r="846" spans="1:20" ht="13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</row>
    <row r="847" spans="1:20" ht="13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</row>
    <row r="848" spans="1:20" ht="13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</row>
    <row r="849" spans="1:20" ht="13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</row>
    <row r="850" spans="1:20" ht="13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</row>
    <row r="851" spans="1:20" ht="13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</row>
    <row r="852" spans="1:20" ht="13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</row>
    <row r="853" spans="1:20" ht="13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</row>
    <row r="854" spans="1:20" ht="13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</row>
    <row r="855" spans="1:20" ht="13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</row>
    <row r="856" spans="1:20" ht="13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</row>
    <row r="857" spans="1:20" ht="13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</row>
    <row r="858" spans="1:20" ht="13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</row>
    <row r="859" spans="1:20" ht="13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</row>
    <row r="860" spans="1:20" ht="13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</row>
    <row r="861" spans="1:20" ht="13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</row>
    <row r="862" spans="1:20" ht="13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</row>
    <row r="863" spans="1:20" ht="13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</row>
    <row r="864" spans="1:20" ht="13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</row>
    <row r="865" spans="1:20" ht="13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</row>
    <row r="866" spans="1:20" ht="13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</row>
    <row r="867" spans="1:20" ht="13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</row>
    <row r="868" spans="1:20" ht="13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</row>
    <row r="869" spans="1:20" ht="13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</row>
    <row r="870" spans="1:20" ht="13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</row>
    <row r="871" spans="1:20" ht="13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</row>
    <row r="872" spans="1:20" ht="13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</row>
    <row r="873" spans="1:20" ht="13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</row>
    <row r="874" spans="1:20" ht="13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</row>
    <row r="875" spans="1:20" ht="13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</row>
    <row r="876" spans="1:20" ht="13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</row>
    <row r="877" spans="1:20" ht="13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</row>
    <row r="878" spans="1:20" ht="13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</row>
    <row r="879" spans="1:20" ht="13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</row>
    <row r="880" spans="1:20" ht="13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</row>
    <row r="881" spans="1:20" ht="13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</row>
  </sheetData>
  <mergeCells count="17">
    <mergeCell ref="G3:G4"/>
    <mergeCell ref="D5:D16"/>
    <mergeCell ref="E2:F2"/>
    <mergeCell ref="B3:B4"/>
    <mergeCell ref="C3:C4"/>
    <mergeCell ref="D3:D4"/>
    <mergeCell ref="E3:E4"/>
    <mergeCell ref="F3:F4"/>
    <mergeCell ref="Q3:Q4"/>
    <mergeCell ref="R3:R4"/>
    <mergeCell ref="H3:H4"/>
    <mergeCell ref="I3:I4"/>
    <mergeCell ref="J3:J4"/>
    <mergeCell ref="K3:K4"/>
    <mergeCell ref="L3:N3"/>
    <mergeCell ref="O3:O4"/>
    <mergeCell ref="P3:P4"/>
  </mergeCells>
  <phoneticPr fontId="18" type="noConversion"/>
  <conditionalFormatting sqref="E5:E16">
    <cfRule type="colorScale" priority="10">
      <colorScale>
        <cfvo type="percent" val="0"/>
        <cfvo type="percent" val="100"/>
        <color rgb="FFFFFFFF"/>
        <color rgb="FF6AA84F"/>
      </colorScale>
    </cfRule>
    <cfRule type="cellIs" dxfId="3" priority="11" operator="lessThan">
      <formula>"100%"</formula>
    </cfRule>
  </conditionalFormatting>
  <conditionalFormatting sqref="F20:F203">
    <cfRule type="cellIs" dxfId="2" priority="7" operator="equal">
      <formula>"미완료"</formula>
    </cfRule>
  </conditionalFormatting>
  <conditionalFormatting sqref="K5:K16">
    <cfRule type="cellIs" dxfId="1" priority="4" operator="greaterThan">
      <formula>1</formula>
    </cfRule>
  </conditionalFormatting>
  <conditionalFormatting sqref="L5:Q16">
    <cfRule type="cellIs" dxfId="0" priority="2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156C-3EFE-4671-A026-08C50B1ED329}">
  <sheetPr codeName="Sheet1"/>
  <dimension ref="A1:R39"/>
  <sheetViews>
    <sheetView tabSelected="1" topLeftCell="F1" zoomScale="70" zoomScaleNormal="70" workbookViewId="0">
      <selection activeCell="K6" sqref="K6"/>
    </sheetView>
  </sheetViews>
  <sheetFormatPr defaultRowHeight="40.049999999999997" customHeight="1"/>
  <cols>
    <col min="1" max="1" width="13" customWidth="1"/>
    <col min="2" max="2" width="20.33203125" customWidth="1"/>
    <col min="3" max="3" width="14.77734375" customWidth="1"/>
    <col min="4" max="4" width="27" customWidth="1"/>
    <col min="5" max="5" width="11.21875" customWidth="1"/>
    <col min="6" max="6" width="19.33203125" style="57" customWidth="1"/>
    <col min="7" max="7" width="25.6640625" style="57" customWidth="1"/>
    <col min="8" max="8" width="34.44140625" style="57" customWidth="1"/>
    <col min="9" max="9" width="46.21875" style="57" customWidth="1"/>
    <col min="10" max="11" width="20.77734375" style="57" customWidth="1"/>
    <col min="12" max="12" width="18.44140625" style="57" customWidth="1"/>
    <col min="13" max="13" width="17.44140625" style="57" customWidth="1"/>
    <col min="14" max="14" width="27" style="57" customWidth="1"/>
    <col min="15" max="16" width="27" style="56" customWidth="1"/>
    <col min="17" max="18" width="27" customWidth="1"/>
    <col min="19" max="19" width="25.6640625" customWidth="1"/>
  </cols>
  <sheetData>
    <row r="1" spans="1:18" ht="14.4">
      <c r="A1" s="58" t="s">
        <v>35</v>
      </c>
      <c r="B1" s="91"/>
      <c r="C1" s="59"/>
      <c r="D1" s="60"/>
      <c r="E1" s="61"/>
      <c r="F1" s="59"/>
      <c r="G1" s="59"/>
      <c r="H1" s="62"/>
      <c r="I1" s="62"/>
      <c r="J1" s="59"/>
      <c r="K1" s="59"/>
      <c r="L1" s="59"/>
      <c r="M1" s="59"/>
      <c r="N1" s="59"/>
      <c r="O1" s="63"/>
      <c r="P1" s="61"/>
      <c r="Q1" s="61"/>
      <c r="R1" s="61"/>
    </row>
    <row r="2" spans="1:18" s="98" customFormat="1" ht="13.2">
      <c r="A2" s="96" t="s">
        <v>0</v>
      </c>
      <c r="B2" s="96" t="s">
        <v>1</v>
      </c>
      <c r="C2" s="96" t="s">
        <v>2</v>
      </c>
      <c r="D2" s="96" t="s">
        <v>38</v>
      </c>
      <c r="E2" s="96" t="s">
        <v>3</v>
      </c>
      <c r="F2" s="96" t="s">
        <v>4</v>
      </c>
      <c r="G2" s="96" t="s">
        <v>5</v>
      </c>
      <c r="H2" s="97" t="s">
        <v>6</v>
      </c>
      <c r="I2" s="97" t="s">
        <v>7</v>
      </c>
      <c r="J2" s="97" t="s">
        <v>36</v>
      </c>
      <c r="K2" s="97" t="s">
        <v>37</v>
      </c>
      <c r="L2" s="97" t="s">
        <v>8</v>
      </c>
      <c r="M2" s="96" t="s">
        <v>9</v>
      </c>
      <c r="N2" s="96" t="s">
        <v>10</v>
      </c>
      <c r="O2" s="96" t="s">
        <v>11</v>
      </c>
      <c r="P2" s="96" t="s">
        <v>12</v>
      </c>
      <c r="Q2" s="96" t="s">
        <v>13</v>
      </c>
      <c r="R2" s="96" t="s">
        <v>14</v>
      </c>
    </row>
    <row r="3" spans="1:18" ht="22.8">
      <c r="A3" s="64" t="s">
        <v>39</v>
      </c>
      <c r="B3" s="64" t="s">
        <v>84</v>
      </c>
      <c r="C3" s="65"/>
      <c r="D3" s="66" t="s">
        <v>101</v>
      </c>
      <c r="E3" s="65" t="s">
        <v>16</v>
      </c>
      <c r="F3" s="67"/>
      <c r="G3" s="68" t="s">
        <v>102</v>
      </c>
      <c r="H3" s="69" t="s">
        <v>103</v>
      </c>
      <c r="I3" s="92" t="s">
        <v>187</v>
      </c>
      <c r="J3" s="70" t="s">
        <v>210</v>
      </c>
      <c r="K3" s="70"/>
      <c r="L3" s="70" t="s">
        <v>211</v>
      </c>
      <c r="M3" s="71"/>
      <c r="N3" s="67"/>
      <c r="O3" s="72"/>
      <c r="P3" s="67"/>
      <c r="Q3" s="71" t="s">
        <v>52</v>
      </c>
      <c r="R3" s="71"/>
    </row>
    <row r="4" spans="1:18" s="80" customFormat="1" ht="45.6">
      <c r="A4" s="73" t="s">
        <v>40</v>
      </c>
      <c r="B4" s="73" t="s">
        <v>41</v>
      </c>
      <c r="C4" s="73" t="s">
        <v>145</v>
      </c>
      <c r="D4" s="74" t="s">
        <v>104</v>
      </c>
      <c r="E4" s="75" t="s">
        <v>16</v>
      </c>
      <c r="F4" s="74"/>
      <c r="G4" s="76" t="s">
        <v>102</v>
      </c>
      <c r="H4" s="77" t="s">
        <v>105</v>
      </c>
      <c r="I4" s="93" t="s">
        <v>85</v>
      </c>
      <c r="J4" s="77"/>
      <c r="K4" s="77"/>
      <c r="L4" s="70" t="str">
        <f t="shared" ref="L4:L34" si="0">IF(J4&lt;&gt;"",$A$1,"")</f>
        <v/>
      </c>
      <c r="M4" s="78"/>
      <c r="N4" s="74"/>
      <c r="O4" s="79"/>
      <c r="P4" s="74"/>
      <c r="Q4" s="78" t="s">
        <v>53</v>
      </c>
      <c r="R4" s="78"/>
    </row>
    <row r="5" spans="1:18" s="80" customFormat="1" ht="45.6">
      <c r="A5" s="73" t="s">
        <v>40</v>
      </c>
      <c r="B5" s="73" t="s">
        <v>42</v>
      </c>
      <c r="C5" s="73" t="s">
        <v>145</v>
      </c>
      <c r="D5" s="74" t="s">
        <v>106</v>
      </c>
      <c r="E5" s="75" t="s">
        <v>16</v>
      </c>
      <c r="F5" s="74"/>
      <c r="G5" s="76" t="s">
        <v>102</v>
      </c>
      <c r="H5" s="77" t="s">
        <v>107</v>
      </c>
      <c r="I5" s="93" t="s">
        <v>86</v>
      </c>
      <c r="J5" s="77"/>
      <c r="K5" s="77"/>
      <c r="L5" s="70" t="str">
        <f t="shared" si="0"/>
        <v/>
      </c>
      <c r="M5" s="78"/>
      <c r="N5" s="74"/>
      <c r="O5" s="79"/>
      <c r="P5" s="74"/>
      <c r="Q5" s="78" t="s">
        <v>54</v>
      </c>
      <c r="R5" s="78"/>
    </row>
    <row r="6" spans="1:18" s="80" customFormat="1" ht="45.6">
      <c r="A6" s="73" t="s">
        <v>40</v>
      </c>
      <c r="B6" s="73" t="s">
        <v>43</v>
      </c>
      <c r="C6" s="73" t="s">
        <v>145</v>
      </c>
      <c r="D6" s="74" t="s">
        <v>108</v>
      </c>
      <c r="E6" s="75" t="s">
        <v>16</v>
      </c>
      <c r="F6" s="74"/>
      <c r="G6" s="76" t="s">
        <v>109</v>
      </c>
      <c r="H6" s="77" t="s">
        <v>110</v>
      </c>
      <c r="I6" s="93" t="s">
        <v>87</v>
      </c>
      <c r="J6" s="77"/>
      <c r="K6" s="77"/>
      <c r="L6" s="70"/>
      <c r="M6" s="78"/>
      <c r="N6" s="74"/>
      <c r="O6" s="79"/>
      <c r="P6" s="74"/>
      <c r="Q6" s="78" t="s">
        <v>55</v>
      </c>
      <c r="R6" s="78"/>
    </row>
    <row r="7" spans="1:18" s="80" customFormat="1" ht="45.6">
      <c r="A7" s="73" t="s">
        <v>40</v>
      </c>
      <c r="B7" s="73" t="s">
        <v>44</v>
      </c>
      <c r="C7" s="73" t="s">
        <v>145</v>
      </c>
      <c r="D7" s="74" t="s">
        <v>111</v>
      </c>
      <c r="E7" s="75" t="s">
        <v>16</v>
      </c>
      <c r="F7" s="74"/>
      <c r="G7" s="76" t="s">
        <v>109</v>
      </c>
      <c r="H7" s="77" t="s">
        <v>112</v>
      </c>
      <c r="I7" s="93" t="s">
        <v>88</v>
      </c>
      <c r="J7" s="77"/>
      <c r="K7" s="77"/>
      <c r="L7" s="70" t="str">
        <f t="shared" si="0"/>
        <v/>
      </c>
      <c r="M7" s="78"/>
      <c r="N7" s="74"/>
      <c r="O7" s="79"/>
      <c r="P7" s="74"/>
      <c r="Q7" s="78" t="s">
        <v>56</v>
      </c>
      <c r="R7" s="78"/>
    </row>
    <row r="8" spans="1:18" s="80" customFormat="1" ht="45.6">
      <c r="A8" s="73" t="s">
        <v>40</v>
      </c>
      <c r="B8" s="73" t="s">
        <v>45</v>
      </c>
      <c r="C8" s="73" t="s">
        <v>145</v>
      </c>
      <c r="D8" s="74" t="s">
        <v>113</v>
      </c>
      <c r="E8" s="75" t="s">
        <v>16</v>
      </c>
      <c r="F8" s="74"/>
      <c r="G8" s="76" t="s">
        <v>109</v>
      </c>
      <c r="H8" s="77" t="s">
        <v>114</v>
      </c>
      <c r="I8" s="93" t="s">
        <v>89</v>
      </c>
      <c r="J8" s="77"/>
      <c r="K8" s="77"/>
      <c r="L8" s="70" t="str">
        <f t="shared" si="0"/>
        <v/>
      </c>
      <c r="M8" s="78"/>
      <c r="N8" s="74"/>
      <c r="O8" s="79"/>
      <c r="P8" s="74"/>
      <c r="Q8" s="78" t="s">
        <v>57</v>
      </c>
      <c r="R8" s="78"/>
    </row>
    <row r="9" spans="1:18" s="80" customFormat="1" ht="45.6">
      <c r="A9" s="73" t="s">
        <v>40</v>
      </c>
      <c r="B9" s="73" t="s">
        <v>46</v>
      </c>
      <c r="C9" s="73" t="s">
        <v>145</v>
      </c>
      <c r="D9" s="74" t="s">
        <v>115</v>
      </c>
      <c r="E9" s="75" t="s">
        <v>16</v>
      </c>
      <c r="F9" s="74"/>
      <c r="G9" s="76" t="s">
        <v>109</v>
      </c>
      <c r="H9" s="77" t="s">
        <v>116</v>
      </c>
      <c r="I9" s="93" t="s">
        <v>90</v>
      </c>
      <c r="J9" s="77"/>
      <c r="K9" s="77"/>
      <c r="L9" s="70" t="str">
        <f t="shared" si="0"/>
        <v/>
      </c>
      <c r="M9" s="78"/>
      <c r="N9" s="74"/>
      <c r="O9" s="79"/>
      <c r="P9" s="74"/>
      <c r="Q9" s="78" t="s">
        <v>58</v>
      </c>
      <c r="R9" s="78"/>
    </row>
    <row r="10" spans="1:18" s="80" customFormat="1" ht="45.6">
      <c r="A10" s="73" t="s">
        <v>40</v>
      </c>
      <c r="B10" s="73" t="s">
        <v>47</v>
      </c>
      <c r="C10" s="73" t="s">
        <v>145</v>
      </c>
      <c r="D10" s="74" t="s">
        <v>117</v>
      </c>
      <c r="E10" s="75" t="s">
        <v>16</v>
      </c>
      <c r="F10" s="74"/>
      <c r="G10" s="76" t="s">
        <v>109</v>
      </c>
      <c r="H10" s="77" t="s">
        <v>118</v>
      </c>
      <c r="I10" s="93" t="s">
        <v>91</v>
      </c>
      <c r="J10" s="77"/>
      <c r="K10" s="77"/>
      <c r="L10" s="70" t="str">
        <f t="shared" si="0"/>
        <v/>
      </c>
      <c r="M10" s="78"/>
      <c r="N10" s="74"/>
      <c r="O10" s="79"/>
      <c r="P10" s="74"/>
      <c r="Q10" s="78" t="s">
        <v>59</v>
      </c>
      <c r="R10" s="78"/>
    </row>
    <row r="11" spans="1:18" s="80" customFormat="1" ht="45.6">
      <c r="A11" s="73" t="s">
        <v>40</v>
      </c>
      <c r="B11" s="73" t="s">
        <v>48</v>
      </c>
      <c r="C11" s="73" t="s">
        <v>145</v>
      </c>
      <c r="D11" s="74" t="s">
        <v>119</v>
      </c>
      <c r="E11" s="75" t="s">
        <v>16</v>
      </c>
      <c r="F11" s="74"/>
      <c r="G11" s="76" t="s">
        <v>109</v>
      </c>
      <c r="H11" s="77" t="s">
        <v>120</v>
      </c>
      <c r="I11" s="93" t="s">
        <v>92</v>
      </c>
      <c r="J11" s="77"/>
      <c r="K11" s="77"/>
      <c r="L11" s="70" t="str">
        <f t="shared" si="0"/>
        <v/>
      </c>
      <c r="M11" s="78"/>
      <c r="N11" s="74"/>
      <c r="O11" s="79"/>
      <c r="P11" s="74"/>
      <c r="Q11" s="78" t="s">
        <v>60</v>
      </c>
      <c r="R11" s="78"/>
    </row>
    <row r="12" spans="1:18" s="80" customFormat="1" ht="57">
      <c r="A12" s="73" t="s">
        <v>40</v>
      </c>
      <c r="B12" s="73" t="s">
        <v>49</v>
      </c>
      <c r="C12" s="73" t="s">
        <v>145</v>
      </c>
      <c r="D12" s="74" t="s">
        <v>121</v>
      </c>
      <c r="E12" s="75" t="s">
        <v>16</v>
      </c>
      <c r="F12" s="74"/>
      <c r="G12" s="76" t="s">
        <v>109</v>
      </c>
      <c r="H12" s="77" t="s">
        <v>122</v>
      </c>
      <c r="I12" s="93" t="s">
        <v>93</v>
      </c>
      <c r="J12" s="77"/>
      <c r="K12" s="77"/>
      <c r="L12" s="70" t="str">
        <f t="shared" si="0"/>
        <v/>
      </c>
      <c r="M12" s="78"/>
      <c r="N12" s="74"/>
      <c r="O12" s="79"/>
      <c r="P12" s="74"/>
      <c r="Q12" s="78" t="s">
        <v>61</v>
      </c>
      <c r="R12" s="78"/>
    </row>
    <row r="13" spans="1:18" s="80" customFormat="1" ht="45.6">
      <c r="A13" s="73" t="s">
        <v>40</v>
      </c>
      <c r="B13" s="73" t="s">
        <v>50</v>
      </c>
      <c r="C13" s="73" t="s">
        <v>145</v>
      </c>
      <c r="D13" s="74" t="s">
        <v>123</v>
      </c>
      <c r="E13" s="75" t="s">
        <v>16</v>
      </c>
      <c r="F13" s="74"/>
      <c r="G13" s="76" t="s">
        <v>109</v>
      </c>
      <c r="H13" s="77" t="s">
        <v>124</v>
      </c>
      <c r="I13" s="93" t="s">
        <v>94</v>
      </c>
      <c r="J13" s="77"/>
      <c r="K13" s="77"/>
      <c r="L13" s="70" t="str">
        <f t="shared" si="0"/>
        <v/>
      </c>
      <c r="M13" s="78"/>
      <c r="N13" s="74"/>
      <c r="O13" s="79"/>
      <c r="P13" s="74"/>
      <c r="Q13" s="78" t="s">
        <v>62</v>
      </c>
      <c r="R13" s="78"/>
    </row>
    <row r="14" spans="1:18" s="80" customFormat="1" ht="22.8">
      <c r="A14" s="73" t="s">
        <v>41</v>
      </c>
      <c r="B14" s="73" t="s">
        <v>146</v>
      </c>
      <c r="C14" s="73"/>
      <c r="D14" s="74" t="s">
        <v>125</v>
      </c>
      <c r="E14" s="75" t="s">
        <v>16</v>
      </c>
      <c r="F14" s="74"/>
      <c r="G14" s="76"/>
      <c r="H14" s="77" t="s">
        <v>126</v>
      </c>
      <c r="I14" s="93" t="s">
        <v>188</v>
      </c>
      <c r="J14" s="77"/>
      <c r="K14" s="77"/>
      <c r="L14" s="70" t="str">
        <f t="shared" si="0"/>
        <v/>
      </c>
      <c r="M14" s="78"/>
      <c r="N14" s="74"/>
      <c r="O14" s="79"/>
      <c r="P14" s="74"/>
      <c r="Q14" s="78" t="s">
        <v>63</v>
      </c>
      <c r="R14" s="78"/>
    </row>
    <row r="15" spans="1:18" s="80" customFormat="1" ht="22.8">
      <c r="A15" s="73" t="s">
        <v>41</v>
      </c>
      <c r="B15" s="73" t="s">
        <v>95</v>
      </c>
      <c r="C15" s="73"/>
      <c r="D15" s="74" t="s">
        <v>127</v>
      </c>
      <c r="E15" s="75" t="s">
        <v>163</v>
      </c>
      <c r="F15" s="74"/>
      <c r="G15" s="76"/>
      <c r="H15" s="77" t="s">
        <v>128</v>
      </c>
      <c r="I15" s="93" t="s">
        <v>189</v>
      </c>
      <c r="J15" s="77"/>
      <c r="K15" s="77"/>
      <c r="L15" s="70" t="str">
        <f t="shared" si="0"/>
        <v/>
      </c>
      <c r="M15" s="78"/>
      <c r="N15" s="74"/>
      <c r="O15" s="79"/>
      <c r="P15" s="74"/>
      <c r="Q15" s="78" t="s">
        <v>64</v>
      </c>
      <c r="R15" s="78"/>
    </row>
    <row r="16" spans="1:18" s="80" customFormat="1" ht="45.6">
      <c r="A16" s="73" t="s">
        <v>41</v>
      </c>
      <c r="B16" s="73" t="s">
        <v>96</v>
      </c>
      <c r="C16" s="73" t="s">
        <v>147</v>
      </c>
      <c r="D16" s="74" t="s">
        <v>129</v>
      </c>
      <c r="E16" s="75" t="s">
        <v>15</v>
      </c>
      <c r="F16" s="74" t="s">
        <v>97</v>
      </c>
      <c r="G16" s="76"/>
      <c r="H16" s="77" t="s">
        <v>130</v>
      </c>
      <c r="I16" s="93" t="s">
        <v>190</v>
      </c>
      <c r="J16" s="77"/>
      <c r="K16" s="77"/>
      <c r="L16" s="70" t="str">
        <f t="shared" si="0"/>
        <v/>
      </c>
      <c r="M16" s="78"/>
      <c r="N16" s="74"/>
      <c r="O16" s="79"/>
      <c r="P16" s="74"/>
      <c r="Q16" s="78" t="s">
        <v>65</v>
      </c>
      <c r="R16" s="78"/>
    </row>
    <row r="17" spans="1:18" s="80" customFormat="1" ht="45.6">
      <c r="A17" s="73" t="s">
        <v>41</v>
      </c>
      <c r="B17" s="73" t="s">
        <v>96</v>
      </c>
      <c r="C17" s="73" t="s">
        <v>147</v>
      </c>
      <c r="D17" s="74" t="s">
        <v>131</v>
      </c>
      <c r="E17" s="75" t="s">
        <v>16</v>
      </c>
      <c r="F17" s="74" t="s">
        <v>98</v>
      </c>
      <c r="G17" s="76"/>
      <c r="H17" s="77" t="s">
        <v>132</v>
      </c>
      <c r="I17" s="93" t="s">
        <v>191</v>
      </c>
      <c r="J17" s="77"/>
      <c r="K17" s="77"/>
      <c r="L17" s="70" t="str">
        <f t="shared" si="0"/>
        <v/>
      </c>
      <c r="M17" s="78"/>
      <c r="N17" s="74"/>
      <c r="O17" s="79"/>
      <c r="P17" s="74"/>
      <c r="Q17" s="78" t="s">
        <v>66</v>
      </c>
      <c r="R17" s="78"/>
    </row>
    <row r="18" spans="1:18" s="80" customFormat="1" ht="36" customHeight="1">
      <c r="A18" s="73" t="s">
        <v>42</v>
      </c>
      <c r="B18" s="73" t="s">
        <v>148</v>
      </c>
      <c r="C18" s="73"/>
      <c r="D18" s="74" t="s">
        <v>159</v>
      </c>
      <c r="E18" s="75" t="s">
        <v>176</v>
      </c>
      <c r="F18" s="74"/>
      <c r="G18" s="76"/>
      <c r="H18" s="77" t="s">
        <v>161</v>
      </c>
      <c r="I18" s="93" t="s">
        <v>192</v>
      </c>
      <c r="J18" s="77"/>
      <c r="K18" s="77"/>
      <c r="L18" s="70" t="str">
        <f t="shared" si="0"/>
        <v/>
      </c>
      <c r="M18" s="78"/>
      <c r="N18" s="74"/>
      <c r="O18" s="79"/>
      <c r="P18" s="74"/>
      <c r="Q18" s="78" t="s">
        <v>67</v>
      </c>
      <c r="R18" s="78"/>
    </row>
    <row r="19" spans="1:18" s="80" customFormat="1" ht="34.200000000000003">
      <c r="A19" s="73" t="s">
        <v>42</v>
      </c>
      <c r="B19" s="73" t="s">
        <v>95</v>
      </c>
      <c r="C19" s="73"/>
      <c r="D19" s="74" t="s">
        <v>133</v>
      </c>
      <c r="E19" s="75" t="s">
        <v>163</v>
      </c>
      <c r="F19" s="74"/>
      <c r="G19" s="76"/>
      <c r="H19" s="77" t="s">
        <v>134</v>
      </c>
      <c r="I19" s="93" t="s">
        <v>193</v>
      </c>
      <c r="J19" s="77"/>
      <c r="K19" s="77"/>
      <c r="L19" s="70" t="str">
        <f t="shared" si="0"/>
        <v/>
      </c>
      <c r="M19" s="78"/>
      <c r="N19" s="74"/>
      <c r="O19" s="79"/>
      <c r="P19" s="74"/>
      <c r="Q19" s="78" t="s">
        <v>68</v>
      </c>
      <c r="R19" s="78"/>
    </row>
    <row r="20" spans="1:18" s="80" customFormat="1" ht="45.6">
      <c r="A20" s="73" t="s">
        <v>42</v>
      </c>
      <c r="B20" s="73" t="s">
        <v>149</v>
      </c>
      <c r="C20" s="73" t="s">
        <v>150</v>
      </c>
      <c r="D20" s="74" t="s">
        <v>135</v>
      </c>
      <c r="E20" s="75" t="s">
        <v>176</v>
      </c>
      <c r="F20" s="74" t="s">
        <v>99</v>
      </c>
      <c r="G20" s="76"/>
      <c r="H20" s="77" t="s">
        <v>136</v>
      </c>
      <c r="I20" s="93" t="s">
        <v>194</v>
      </c>
      <c r="J20" s="77"/>
      <c r="K20" s="77"/>
      <c r="L20" s="70" t="str">
        <f t="shared" si="0"/>
        <v/>
      </c>
      <c r="M20" s="78"/>
      <c r="N20" s="74"/>
      <c r="O20" s="79"/>
      <c r="P20" s="74"/>
      <c r="Q20" s="78" t="s">
        <v>69</v>
      </c>
      <c r="R20" s="78"/>
    </row>
    <row r="21" spans="1:18" s="80" customFormat="1" ht="45.6">
      <c r="A21" s="73" t="s">
        <v>42</v>
      </c>
      <c r="B21" s="73" t="s">
        <v>149</v>
      </c>
      <c r="C21" s="73" t="s">
        <v>151</v>
      </c>
      <c r="D21" s="74" t="s">
        <v>137</v>
      </c>
      <c r="E21" s="75" t="s">
        <v>162</v>
      </c>
      <c r="F21" s="74" t="s">
        <v>100</v>
      </c>
      <c r="G21" s="76"/>
      <c r="H21" s="77" t="s">
        <v>136</v>
      </c>
      <c r="I21" s="93" t="s">
        <v>195</v>
      </c>
      <c r="J21" s="77"/>
      <c r="K21" s="77"/>
      <c r="L21" s="70" t="str">
        <f t="shared" si="0"/>
        <v/>
      </c>
      <c r="M21" s="78"/>
      <c r="N21" s="74"/>
      <c r="O21" s="79"/>
      <c r="P21" s="74"/>
      <c r="Q21" s="78" t="s">
        <v>70</v>
      </c>
      <c r="R21" s="78"/>
    </row>
    <row r="22" spans="1:18" s="80" customFormat="1" ht="34.200000000000003">
      <c r="A22" s="73" t="s">
        <v>42</v>
      </c>
      <c r="B22" s="73" t="s">
        <v>152</v>
      </c>
      <c r="C22" s="73" t="s">
        <v>152</v>
      </c>
      <c r="D22" s="74" t="s">
        <v>138</v>
      </c>
      <c r="E22" s="75" t="s">
        <v>162</v>
      </c>
      <c r="F22" s="74" t="s">
        <v>99</v>
      </c>
      <c r="G22" s="76" t="s">
        <v>139</v>
      </c>
      <c r="H22" s="77" t="s">
        <v>140</v>
      </c>
      <c r="I22" s="93" t="s">
        <v>196</v>
      </c>
      <c r="J22" s="77"/>
      <c r="K22" s="77"/>
      <c r="L22" s="70" t="str">
        <f t="shared" si="0"/>
        <v/>
      </c>
      <c r="M22" s="78"/>
      <c r="N22" s="74"/>
      <c r="O22" s="79"/>
      <c r="P22" s="74"/>
      <c r="Q22" s="78" t="s">
        <v>71</v>
      </c>
      <c r="R22" s="78"/>
    </row>
    <row r="23" spans="1:18" s="80" customFormat="1" ht="26.4">
      <c r="A23" s="73" t="s">
        <v>44</v>
      </c>
      <c r="B23" s="73" t="s">
        <v>95</v>
      </c>
      <c r="C23" s="73"/>
      <c r="D23" s="74" t="s">
        <v>164</v>
      </c>
      <c r="E23" s="75" t="s">
        <v>163</v>
      </c>
      <c r="F23" s="74"/>
      <c r="G23" s="76"/>
      <c r="H23" s="77" t="s">
        <v>177</v>
      </c>
      <c r="I23" s="93" t="s">
        <v>197</v>
      </c>
      <c r="J23" s="77"/>
      <c r="K23" s="77"/>
      <c r="L23" s="70" t="str">
        <f t="shared" si="0"/>
        <v/>
      </c>
      <c r="M23" s="78"/>
      <c r="N23" s="74"/>
      <c r="O23" s="79"/>
      <c r="P23" s="74"/>
      <c r="Q23" s="78" t="s">
        <v>72</v>
      </c>
      <c r="R23" s="78"/>
    </row>
    <row r="24" spans="1:18" s="80" customFormat="1" ht="39.6">
      <c r="A24" s="73" t="s">
        <v>44</v>
      </c>
      <c r="B24" s="73" t="s">
        <v>166</v>
      </c>
      <c r="C24" s="73" t="s">
        <v>168</v>
      </c>
      <c r="D24" s="74" t="s">
        <v>167</v>
      </c>
      <c r="E24" s="75" t="s">
        <v>15</v>
      </c>
      <c r="F24" s="74" t="s">
        <v>165</v>
      </c>
      <c r="G24" s="76"/>
      <c r="H24" s="77" t="s">
        <v>178</v>
      </c>
      <c r="I24" s="93" t="s">
        <v>198</v>
      </c>
      <c r="J24" s="77"/>
      <c r="K24" s="77"/>
      <c r="L24" s="70" t="str">
        <f t="shared" si="0"/>
        <v/>
      </c>
      <c r="M24" s="78"/>
      <c r="N24" s="74"/>
      <c r="O24" s="79"/>
      <c r="P24" s="74"/>
      <c r="Q24" s="78" t="s">
        <v>73</v>
      </c>
      <c r="R24" s="78"/>
    </row>
    <row r="25" spans="1:18" s="80" customFormat="1" ht="52.8">
      <c r="A25" s="73" t="s">
        <v>44</v>
      </c>
      <c r="B25" s="73" t="s">
        <v>166</v>
      </c>
      <c r="C25" s="73" t="s">
        <v>168</v>
      </c>
      <c r="D25" s="74" t="s">
        <v>169</v>
      </c>
      <c r="E25" s="75" t="s">
        <v>15</v>
      </c>
      <c r="F25" s="74" t="s">
        <v>165</v>
      </c>
      <c r="G25" s="76" t="s">
        <v>179</v>
      </c>
      <c r="H25" s="77" t="s">
        <v>180</v>
      </c>
      <c r="I25" s="93" t="s">
        <v>199</v>
      </c>
      <c r="J25" s="77"/>
      <c r="K25" s="77"/>
      <c r="L25" s="70" t="str">
        <f t="shared" si="0"/>
        <v/>
      </c>
      <c r="M25" s="78"/>
      <c r="N25" s="74"/>
      <c r="O25" s="79"/>
      <c r="P25" s="74"/>
      <c r="Q25" s="78" t="s">
        <v>74</v>
      </c>
      <c r="R25" s="78"/>
    </row>
    <row r="26" spans="1:18" s="80" customFormat="1" ht="52.8">
      <c r="A26" s="73" t="s">
        <v>44</v>
      </c>
      <c r="B26" s="73" t="s">
        <v>166</v>
      </c>
      <c r="C26" s="73" t="s">
        <v>168</v>
      </c>
      <c r="D26" s="74" t="s">
        <v>170</v>
      </c>
      <c r="E26" s="75" t="s">
        <v>15</v>
      </c>
      <c r="F26" s="74" t="s">
        <v>165</v>
      </c>
      <c r="G26" s="76" t="s">
        <v>179</v>
      </c>
      <c r="H26" s="77" t="s">
        <v>181</v>
      </c>
      <c r="I26" s="93" t="s">
        <v>200</v>
      </c>
      <c r="J26" s="77"/>
      <c r="K26" s="77"/>
      <c r="L26" s="70" t="str">
        <f t="shared" si="0"/>
        <v/>
      </c>
      <c r="M26" s="78"/>
      <c r="N26" s="74"/>
      <c r="O26" s="79"/>
      <c r="P26" s="74"/>
      <c r="Q26" s="78" t="s">
        <v>75</v>
      </c>
      <c r="R26" s="78"/>
    </row>
    <row r="27" spans="1:18" s="80" customFormat="1" ht="52.8">
      <c r="A27" s="73" t="s">
        <v>44</v>
      </c>
      <c r="B27" s="73" t="s">
        <v>166</v>
      </c>
      <c r="C27" s="73" t="s">
        <v>168</v>
      </c>
      <c r="D27" s="74" t="s">
        <v>171</v>
      </c>
      <c r="E27" s="75" t="s">
        <v>15</v>
      </c>
      <c r="F27" s="74" t="s">
        <v>165</v>
      </c>
      <c r="G27" s="76" t="s">
        <v>179</v>
      </c>
      <c r="H27" s="77" t="s">
        <v>182</v>
      </c>
      <c r="I27" s="93" t="s">
        <v>201</v>
      </c>
      <c r="J27" s="77"/>
      <c r="K27" s="77"/>
      <c r="L27" s="70" t="str">
        <f t="shared" si="0"/>
        <v/>
      </c>
      <c r="M27" s="78"/>
      <c r="N27" s="74"/>
      <c r="O27" s="79"/>
      <c r="P27" s="74"/>
      <c r="Q27" s="78" t="s">
        <v>76</v>
      </c>
      <c r="R27" s="78"/>
    </row>
    <row r="28" spans="1:18" s="80" customFormat="1" ht="52.8">
      <c r="A28" s="73" t="s">
        <v>44</v>
      </c>
      <c r="B28" s="73" t="s">
        <v>166</v>
      </c>
      <c r="C28" s="73" t="s">
        <v>168</v>
      </c>
      <c r="D28" s="74" t="s">
        <v>172</v>
      </c>
      <c r="E28" s="75" t="s">
        <v>15</v>
      </c>
      <c r="F28" s="74" t="s">
        <v>165</v>
      </c>
      <c r="G28" s="76" t="s">
        <v>179</v>
      </c>
      <c r="H28" s="77" t="s">
        <v>183</v>
      </c>
      <c r="I28" s="93" t="s">
        <v>202</v>
      </c>
      <c r="J28" s="77"/>
      <c r="K28" s="77"/>
      <c r="L28" s="70" t="str">
        <f t="shared" si="0"/>
        <v/>
      </c>
      <c r="M28" s="78"/>
      <c r="N28" s="74"/>
      <c r="O28" s="79"/>
      <c r="P28" s="74"/>
      <c r="Q28" s="78" t="s">
        <v>77</v>
      </c>
      <c r="R28" s="78"/>
    </row>
    <row r="29" spans="1:18" s="80" customFormat="1" ht="52.8">
      <c r="A29" s="73" t="s">
        <v>44</v>
      </c>
      <c r="B29" s="73" t="s">
        <v>166</v>
      </c>
      <c r="C29" s="73" t="s">
        <v>168</v>
      </c>
      <c r="D29" s="74" t="s">
        <v>173</v>
      </c>
      <c r="E29" s="75" t="s">
        <v>15</v>
      </c>
      <c r="F29" s="74" t="s">
        <v>165</v>
      </c>
      <c r="G29" s="76" t="s">
        <v>179</v>
      </c>
      <c r="H29" s="77" t="s">
        <v>184</v>
      </c>
      <c r="I29" s="93" t="s">
        <v>203</v>
      </c>
      <c r="J29" s="77"/>
      <c r="K29" s="77"/>
      <c r="L29" s="70" t="str">
        <f t="shared" si="0"/>
        <v/>
      </c>
      <c r="M29" s="78"/>
      <c r="N29" s="74"/>
      <c r="O29" s="79"/>
      <c r="P29" s="74"/>
      <c r="Q29" s="78" t="s">
        <v>78</v>
      </c>
      <c r="R29" s="78"/>
    </row>
    <row r="30" spans="1:18" s="80" customFormat="1" ht="52.8">
      <c r="A30" s="73" t="s">
        <v>44</v>
      </c>
      <c r="B30" s="73" t="s">
        <v>166</v>
      </c>
      <c r="C30" s="73" t="s">
        <v>168</v>
      </c>
      <c r="D30" s="74" t="s">
        <v>174</v>
      </c>
      <c r="E30" s="75" t="s">
        <v>15</v>
      </c>
      <c r="F30" s="74" t="s">
        <v>165</v>
      </c>
      <c r="G30" s="76" t="s">
        <v>179</v>
      </c>
      <c r="H30" s="77" t="s">
        <v>185</v>
      </c>
      <c r="I30" s="93" t="s">
        <v>204</v>
      </c>
      <c r="J30" s="77"/>
      <c r="K30" s="77"/>
      <c r="L30" s="70" t="str">
        <f t="shared" si="0"/>
        <v/>
      </c>
      <c r="M30" s="78"/>
      <c r="N30" s="74"/>
      <c r="O30" s="79"/>
      <c r="P30" s="74"/>
      <c r="Q30" s="78" t="s">
        <v>79</v>
      </c>
      <c r="R30" s="78"/>
    </row>
    <row r="31" spans="1:18" s="80" customFormat="1" ht="52.8">
      <c r="A31" s="73" t="s">
        <v>44</v>
      </c>
      <c r="B31" s="73" t="s">
        <v>166</v>
      </c>
      <c r="C31" s="73" t="s">
        <v>168</v>
      </c>
      <c r="D31" s="74" t="s">
        <v>175</v>
      </c>
      <c r="E31" s="75" t="s">
        <v>15</v>
      </c>
      <c r="F31" s="74" t="s">
        <v>165</v>
      </c>
      <c r="G31" s="76" t="s">
        <v>179</v>
      </c>
      <c r="H31" s="77" t="s">
        <v>186</v>
      </c>
      <c r="I31" s="93" t="s">
        <v>205</v>
      </c>
      <c r="J31" s="77"/>
      <c r="K31" s="77"/>
      <c r="L31" s="70" t="str">
        <f t="shared" si="0"/>
        <v/>
      </c>
      <c r="M31" s="78"/>
      <c r="N31" s="74"/>
      <c r="O31" s="79"/>
      <c r="P31" s="74"/>
      <c r="Q31" s="78" t="s">
        <v>80</v>
      </c>
      <c r="R31" s="78"/>
    </row>
    <row r="32" spans="1:18" s="80" customFormat="1" ht="38.4" customHeight="1">
      <c r="A32" s="73" t="s">
        <v>47</v>
      </c>
      <c r="B32" s="73" t="s">
        <v>153</v>
      </c>
      <c r="C32" s="73" t="s">
        <v>141</v>
      </c>
      <c r="D32" s="74" t="s">
        <v>160</v>
      </c>
      <c r="E32" s="75" t="s">
        <v>16</v>
      </c>
      <c r="F32" s="74"/>
      <c r="G32" s="76"/>
      <c r="H32" s="77" t="s">
        <v>156</v>
      </c>
      <c r="I32" s="93" t="s">
        <v>206</v>
      </c>
      <c r="J32" s="77"/>
      <c r="K32" s="77"/>
      <c r="L32" s="70" t="str">
        <f t="shared" si="0"/>
        <v/>
      </c>
      <c r="M32" s="78"/>
      <c r="N32" s="74"/>
      <c r="O32" s="79"/>
      <c r="P32" s="74"/>
      <c r="Q32" s="78" t="s">
        <v>81</v>
      </c>
      <c r="R32" s="78"/>
    </row>
    <row r="33" spans="1:18" s="80" customFormat="1" ht="49.2">
      <c r="A33" s="73" t="s">
        <v>47</v>
      </c>
      <c r="B33" s="81" t="s">
        <v>142</v>
      </c>
      <c r="C33" s="81" t="s">
        <v>154</v>
      </c>
      <c r="D33" s="82" t="s">
        <v>143</v>
      </c>
      <c r="E33" s="75" t="s">
        <v>16</v>
      </c>
      <c r="F33" s="74"/>
      <c r="G33" s="76"/>
      <c r="H33" s="77" t="s">
        <v>157</v>
      </c>
      <c r="I33" s="93" t="s">
        <v>207</v>
      </c>
      <c r="J33" s="77"/>
      <c r="K33" s="77"/>
      <c r="L33" s="70" t="str">
        <f t="shared" si="0"/>
        <v/>
      </c>
      <c r="M33" s="78"/>
      <c r="N33" s="74"/>
      <c r="O33" s="79"/>
      <c r="P33" s="94" t="s">
        <v>209</v>
      </c>
      <c r="Q33" s="78" t="s">
        <v>82</v>
      </c>
      <c r="R33" s="78"/>
    </row>
    <row r="34" spans="1:18" s="80" customFormat="1" ht="266.39999999999998">
      <c r="A34" s="73" t="s">
        <v>47</v>
      </c>
      <c r="B34" s="81" t="s">
        <v>142</v>
      </c>
      <c r="C34" s="81" t="s">
        <v>155</v>
      </c>
      <c r="D34" s="82" t="s">
        <v>144</v>
      </c>
      <c r="E34" s="75" t="s">
        <v>16</v>
      </c>
      <c r="F34" s="74"/>
      <c r="G34" s="76"/>
      <c r="H34" s="77" t="s">
        <v>158</v>
      </c>
      <c r="I34" s="93" t="s">
        <v>208</v>
      </c>
      <c r="J34" s="77"/>
      <c r="K34" s="77"/>
      <c r="L34" s="70" t="str">
        <f t="shared" si="0"/>
        <v/>
      </c>
      <c r="M34" s="78"/>
      <c r="N34" s="74"/>
      <c r="O34" s="79"/>
      <c r="P34" s="94" t="s">
        <v>209</v>
      </c>
      <c r="Q34" s="78" t="s">
        <v>83</v>
      </c>
      <c r="R34" s="78"/>
    </row>
    <row r="35" spans="1:18" s="80" customFormat="1" ht="40.049999999999997" customHeight="1">
      <c r="A35" s="83"/>
      <c r="B35" s="84"/>
      <c r="C35" s="84"/>
      <c r="D35" s="85"/>
      <c r="E35" s="84"/>
      <c r="F35" s="85"/>
      <c r="G35" s="86"/>
      <c r="H35" s="87"/>
      <c r="I35" s="88"/>
      <c r="J35" s="87"/>
      <c r="K35" s="87"/>
      <c r="L35" s="87"/>
      <c r="M35" s="89"/>
      <c r="N35" s="85"/>
      <c r="O35" s="90"/>
      <c r="P35" s="95"/>
      <c r="Q35" s="89"/>
      <c r="R35" s="89"/>
    </row>
    <row r="36" spans="1:18" s="80" customFormat="1" ht="40.049999999999997" customHeight="1">
      <c r="A36" s="83"/>
      <c r="B36" s="84"/>
      <c r="C36" s="84"/>
      <c r="D36" s="85"/>
      <c r="E36" s="84"/>
      <c r="F36" s="85"/>
      <c r="G36" s="86"/>
      <c r="H36" s="87"/>
      <c r="I36" s="88"/>
      <c r="J36" s="87"/>
      <c r="K36" s="87"/>
      <c r="L36" s="87"/>
      <c r="M36" s="89"/>
      <c r="N36" s="85"/>
      <c r="O36" s="90"/>
      <c r="P36" s="95"/>
      <c r="Q36" s="89"/>
      <c r="R36" s="89"/>
    </row>
    <row r="37" spans="1:18" s="80" customFormat="1" ht="40.049999999999997" customHeight="1">
      <c r="A37" s="83"/>
      <c r="B37" s="84"/>
      <c r="C37" s="84"/>
      <c r="D37" s="85"/>
      <c r="E37" s="84"/>
      <c r="F37" s="85"/>
      <c r="G37" s="86"/>
      <c r="H37" s="87"/>
      <c r="I37" s="88"/>
      <c r="J37" s="87"/>
      <c r="K37" s="87"/>
      <c r="L37" s="87"/>
      <c r="M37" s="89"/>
      <c r="N37" s="85"/>
      <c r="O37" s="90"/>
      <c r="P37" s="95"/>
      <c r="Q37" s="89"/>
      <c r="R37" s="89"/>
    </row>
    <row r="38" spans="1:18" s="80" customFormat="1" ht="40.049999999999997" customHeight="1">
      <c r="A38" s="83"/>
      <c r="B38" s="84"/>
      <c r="C38" s="84"/>
      <c r="D38" s="85"/>
      <c r="E38" s="84"/>
      <c r="F38" s="85"/>
      <c r="G38" s="86"/>
      <c r="H38" s="87"/>
      <c r="I38" s="88"/>
      <c r="J38" s="87"/>
      <c r="K38" s="87"/>
      <c r="L38" s="87"/>
      <c r="M38" s="89"/>
      <c r="N38" s="85"/>
      <c r="O38" s="90"/>
      <c r="P38" s="95"/>
      <c r="Q38" s="89"/>
      <c r="R38" s="89"/>
    </row>
    <row r="39" spans="1:18" s="80" customFormat="1" ht="40.049999999999997" customHeight="1">
      <c r="A39" s="83"/>
      <c r="B39" s="84"/>
      <c r="C39" s="84"/>
      <c r="D39" s="85"/>
      <c r="E39" s="84"/>
      <c r="F39" s="85"/>
      <c r="G39" s="86"/>
      <c r="H39" s="87"/>
      <c r="I39" s="88"/>
      <c r="J39" s="87"/>
      <c r="K39" s="87"/>
      <c r="L39" s="87"/>
      <c r="M39" s="89"/>
      <c r="N39" s="85"/>
      <c r="O39" s="90"/>
      <c r="P39" s="95"/>
      <c r="Q39" s="89"/>
      <c r="R39" s="89"/>
    </row>
  </sheetData>
  <phoneticPr fontId="18" type="noConversion"/>
  <dataValidations count="4">
    <dataValidation type="list" allowBlank="1" showErrorMessage="1" sqref="M3:M39" xr:uid="{366518D2-B873-4BEA-BB7D-316A618BB6F4}">
      <formula1>"심상묵,서려경,이연정,허은진"</formula1>
    </dataValidation>
    <dataValidation type="list" allowBlank="1" showErrorMessage="1" sqref="J3:J39" xr:uid="{0961EC46-C231-4545-A28D-AFAC1FCEB6F5}">
      <formula1>"Pass,Fail,Blocked,N/A,N/T,Result (Linux)"</formula1>
    </dataValidation>
    <dataValidation type="list" allowBlank="1" showErrorMessage="1" sqref="K3:K39" xr:uid="{70A07CAB-8BC6-4D7C-8BDE-4CC52B55EB90}">
      <formula1>"Pass,Fail,Blocked,N/A,N/T,Result (Windows)"</formula1>
    </dataValidation>
    <dataValidation type="list" allowBlank="1" showErrorMessage="1" sqref="E3:E39" xr:uid="{1D1F6751-550C-42A6-B090-A1A82D8FEDB1}">
      <formula1>"P1,P1(Once),P2,P2(Once),P3,P3(Once),Priority"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1차</vt:lpstr>
      <vt:lpstr>TC 1차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Yeonjung Lee</dc:creator>
  <cp:keywords/>
  <dc:description/>
  <cp:lastModifiedBy>연정 이</cp:lastModifiedBy>
  <cp:revision/>
  <dcterms:created xsi:type="dcterms:W3CDTF">2025-09-03T10:21:45Z</dcterms:created>
  <dcterms:modified xsi:type="dcterms:W3CDTF">2025-10-08T12:10:51Z</dcterms:modified>
  <cp:category/>
  <cp:contentStatus/>
</cp:coreProperties>
</file>